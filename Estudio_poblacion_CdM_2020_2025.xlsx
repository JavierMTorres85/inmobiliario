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y crecimiento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Por eje metropolitano" sheetId="3" state="visible" r:id="rId3"/>
  </sheets>
  <definedNames>
    <definedName name="_xlnm._FilterDatabase" localSheetId="0" hidden="1">'Serie y crecimiento'!$A$4:$O$183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"/>
    <numFmt numFmtId="165" formatCode="+0.0%;-0.0%"/>
    <numFmt numFmtId="166" formatCode="+#,##0"/>
    <numFmt numFmtId="167" formatCode="+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3" fillId="2" borderId="1" pivotButton="0" quotePrefix="0" xfId="0"/>
    <xf numFmtId="1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3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6" customWidth="1" min="15" max="15"/>
  </cols>
  <sheetData>
    <row r="1">
      <c r="A1" s="1" t="inlineStr">
        <is>
          <t>Comunidad de Madrid — población municipal 2020-2025 y crecimiento</t>
        </is>
      </c>
    </row>
    <row r="2">
      <c r="A2" s="2" t="inlineStr">
        <is>
          <t>Padrón INE a 1 de enero (tabla 2881, sexo Total). Ordenado por población 2025 (usa el filtro para reordenar por Δ%). Eje metropolitano = agrupación analítica aproximada.</t>
        </is>
      </c>
    </row>
    <row r="4">
      <c r="A4" s="3" t="inlineStr">
        <is>
          <t>Cód</t>
        </is>
      </c>
      <c r="B4" s="3" t="inlineStr">
        <is>
          <t>Municipio</t>
        </is>
      </c>
      <c r="C4" s="3" t="inlineStr">
        <is>
          <t>Eje metropolitano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Δ 20-25</t>
        </is>
      </c>
      <c r="K4" s="3" t="inlineStr">
        <is>
          <t>Δ% 20-25</t>
        </is>
      </c>
      <c r="L4" s="3" t="inlineStr">
        <is>
          <t>CAGR</t>
        </is>
      </c>
      <c r="M4" s="3" t="inlineStr">
        <is>
          <t>% 20-23</t>
        </is>
      </c>
      <c r="N4" s="3" t="inlineStr">
        <is>
          <t>% 23-25</t>
        </is>
      </c>
      <c r="O4" s="3" t="inlineStr">
        <is>
          <t>Clasificación</t>
        </is>
      </c>
    </row>
    <row r="5">
      <c r="A5" s="4" t="inlineStr">
        <is>
          <t>28079</t>
        </is>
      </c>
      <c r="B5" s="4" t="inlineStr">
        <is>
          <t>Madrid</t>
        </is>
      </c>
      <c r="C5" s="4" t="inlineStr">
        <is>
          <t>Sierra Norte / Rural</t>
        </is>
      </c>
      <c r="D5" s="5" t="n">
        <v>3334730</v>
      </c>
      <c r="E5" s="5" t="n">
        <v>3305408</v>
      </c>
      <c r="F5" s="5" t="n">
        <v>3280782</v>
      </c>
      <c r="G5" s="5" t="n">
        <v>3332035</v>
      </c>
      <c r="H5" s="5" t="n">
        <v>3416771</v>
      </c>
      <c r="I5" s="5" t="n">
        <v>3506730</v>
      </c>
      <c r="J5" s="6">
        <f>I5-D5</f>
        <v/>
      </c>
      <c r="K5" s="7">
        <f>(I5-D5)/D5</f>
        <v/>
      </c>
      <c r="L5" s="7">
        <f>(I5/D5)^(1/5)-1</f>
        <v/>
      </c>
      <c r="M5" s="7">
        <f>(G5-D5)/D5</f>
        <v/>
      </c>
      <c r="N5" s="7">
        <f>(I5-G5)/G5</f>
        <v/>
      </c>
      <c r="O5" s="8" t="inlineStr">
        <is>
          <t>Alto (5-12%)</t>
        </is>
      </c>
    </row>
    <row r="6">
      <c r="A6" s="4" t="inlineStr">
        <is>
          <t>28092</t>
        </is>
      </c>
      <c r="B6" s="4" t="inlineStr">
        <is>
          <t>Móstoles</t>
        </is>
      </c>
      <c r="C6" s="4" t="inlineStr">
        <is>
          <t>Sur (A-4/A-42)</t>
        </is>
      </c>
      <c r="D6" s="5" t="n">
        <v>210309</v>
      </c>
      <c r="E6" s="5" t="n">
        <v>209639</v>
      </c>
      <c r="F6" s="5" t="n">
        <v>208761</v>
      </c>
      <c r="G6" s="5" t="n">
        <v>211265</v>
      </c>
      <c r="H6" s="5" t="n">
        <v>214006</v>
      </c>
      <c r="I6" s="5" t="n">
        <v>214817</v>
      </c>
      <c r="J6" s="6">
        <f>I6-D6</f>
        <v/>
      </c>
      <c r="K6" s="7">
        <f>(I6-D6)/D6</f>
        <v/>
      </c>
      <c r="L6" s="7">
        <f>(I6/D6)^(1/5)-1</f>
        <v/>
      </c>
      <c r="M6" s="7">
        <f>(G6-D6)/D6</f>
        <v/>
      </c>
      <c r="N6" s="7">
        <f>(I6-G6)/G6</f>
        <v/>
      </c>
      <c r="O6" s="9" t="inlineStr">
        <is>
          <t>Moderado (2-5%)</t>
        </is>
      </c>
    </row>
    <row r="7">
      <c r="A7" s="4" t="inlineStr">
        <is>
          <t>28005</t>
        </is>
      </c>
      <c r="B7" s="4" t="inlineStr">
        <is>
          <t>Alcalá de Henares</t>
        </is>
      </c>
      <c r="C7" s="4" t="inlineStr">
        <is>
          <t>Henares (E)</t>
        </is>
      </c>
      <c r="D7" s="5" t="n">
        <v>197562</v>
      </c>
      <c r="E7" s="5" t="n">
        <v>195982</v>
      </c>
      <c r="F7" s="5" t="n">
        <v>196888</v>
      </c>
      <c r="G7" s="5" t="n">
        <v>199184</v>
      </c>
      <c r="H7" s="5" t="n">
        <v>200702</v>
      </c>
      <c r="I7" s="5" t="n">
        <v>203208</v>
      </c>
      <c r="J7" s="6">
        <f>I7-D7</f>
        <v/>
      </c>
      <c r="K7" s="7">
        <f>(I7-D7)/D7</f>
        <v/>
      </c>
      <c r="L7" s="7">
        <f>(I7/D7)^(1/5)-1</f>
        <v/>
      </c>
      <c r="M7" s="7">
        <f>(G7-D7)/D7</f>
        <v/>
      </c>
      <c r="N7" s="7">
        <f>(I7-G7)/G7</f>
        <v/>
      </c>
      <c r="O7" s="9" t="inlineStr">
        <is>
          <t>Moderado (2-5%)</t>
        </is>
      </c>
    </row>
    <row r="8">
      <c r="A8" s="4" t="inlineStr">
        <is>
          <t>28074</t>
        </is>
      </c>
      <c r="B8" s="4" t="inlineStr">
        <is>
          <t>Leganés</t>
        </is>
      </c>
      <c r="C8" s="4" t="inlineStr">
        <is>
          <t>Sur (A-4/A-42)</t>
        </is>
      </c>
      <c r="D8" s="5" t="n">
        <v>191114</v>
      </c>
      <c r="E8" s="5" t="n">
        <v>187762</v>
      </c>
      <c r="F8" s="5" t="n">
        <v>186660</v>
      </c>
      <c r="G8" s="5" t="n">
        <v>190665</v>
      </c>
      <c r="H8" s="5" t="n">
        <v>194084</v>
      </c>
      <c r="I8" s="5" t="n">
        <v>195734</v>
      </c>
      <c r="J8" s="6">
        <f>I8-D8</f>
        <v/>
      </c>
      <c r="K8" s="7">
        <f>(I8-D8)/D8</f>
        <v/>
      </c>
      <c r="L8" s="7">
        <f>(I8/D8)^(1/5)-1</f>
        <v/>
      </c>
      <c r="M8" s="7">
        <f>(G8-D8)/D8</f>
        <v/>
      </c>
      <c r="N8" s="7">
        <f>(I8-G8)/G8</f>
        <v/>
      </c>
      <c r="O8" s="9" t="inlineStr">
        <is>
          <t>Moderado (2-5%)</t>
        </is>
      </c>
    </row>
    <row r="9">
      <c r="A9" s="4" t="inlineStr">
        <is>
          <t>28065</t>
        </is>
      </c>
      <c r="B9" s="4" t="inlineStr">
        <is>
          <t>Getafe</t>
        </is>
      </c>
      <c r="C9" s="4" t="inlineStr">
        <is>
          <t>Sur (A-4/A-42)</t>
        </is>
      </c>
      <c r="D9" s="5" t="n">
        <v>185180</v>
      </c>
      <c r="E9" s="5" t="n">
        <v>183095</v>
      </c>
      <c r="F9" s="5" t="n">
        <v>183219</v>
      </c>
      <c r="G9" s="5" t="n">
        <v>185899</v>
      </c>
      <c r="H9" s="5" t="n">
        <v>189906</v>
      </c>
      <c r="I9" s="5" t="n">
        <v>193238</v>
      </c>
      <c r="J9" s="6">
        <f>I9-D9</f>
        <v/>
      </c>
      <c r="K9" s="7">
        <f>(I9-D9)/D9</f>
        <v/>
      </c>
      <c r="L9" s="7">
        <f>(I9/D9)^(1/5)-1</f>
        <v/>
      </c>
      <c r="M9" s="7">
        <f>(G9-D9)/D9</f>
        <v/>
      </c>
      <c r="N9" s="7">
        <f>(I9-G9)/G9</f>
        <v/>
      </c>
      <c r="O9" s="9" t="inlineStr">
        <is>
          <t>Moderado (2-5%)</t>
        </is>
      </c>
    </row>
    <row r="10">
      <c r="A10" s="4" t="inlineStr">
        <is>
          <t>28058</t>
        </is>
      </c>
      <c r="B10" s="4" t="inlineStr">
        <is>
          <t>Fuenlabrada</t>
        </is>
      </c>
      <c r="C10" s="4" t="inlineStr">
        <is>
          <t>Sur (A-4/A-42)</t>
        </is>
      </c>
      <c r="D10" s="5" t="n">
        <v>194514</v>
      </c>
      <c r="E10" s="5" t="n">
        <v>192233</v>
      </c>
      <c r="F10" s="5" t="n">
        <v>189891</v>
      </c>
      <c r="G10" s="5" t="n">
        <v>188736</v>
      </c>
      <c r="H10" s="5" t="n">
        <v>190790</v>
      </c>
      <c r="I10" s="5" t="n">
        <v>190076</v>
      </c>
      <c r="J10" s="6">
        <f>I10-D10</f>
        <v/>
      </c>
      <c r="K10" s="7">
        <f>(I10-D10)/D10</f>
        <v/>
      </c>
      <c r="L10" s="7">
        <f>(I10/D10)^(1/5)-1</f>
        <v/>
      </c>
      <c r="M10" s="7">
        <f>(G10-D10)/D10</f>
        <v/>
      </c>
      <c r="N10" s="7">
        <f>(I10-G10)/G10</f>
        <v/>
      </c>
      <c r="O10" s="10" t="inlineStr">
        <is>
          <t>Decrece</t>
        </is>
      </c>
    </row>
    <row r="11">
      <c r="A11" s="4" t="inlineStr">
        <is>
          <t>28007</t>
        </is>
      </c>
      <c r="B11" s="4" t="inlineStr">
        <is>
          <t>Alcorcón</t>
        </is>
      </c>
      <c r="C11" s="4" t="inlineStr">
        <is>
          <t>Sur (A-4/A-42)</t>
        </is>
      </c>
      <c r="D11" s="5" t="n">
        <v>172384</v>
      </c>
      <c r="E11" s="5" t="n">
        <v>170817</v>
      </c>
      <c r="F11" s="5" t="n">
        <v>170296</v>
      </c>
      <c r="G11" s="5" t="n">
        <v>171772</v>
      </c>
      <c r="H11" s="5" t="n">
        <v>173625</v>
      </c>
      <c r="I11" s="5" t="n">
        <v>175719</v>
      </c>
      <c r="J11" s="6">
        <f>I11-D11</f>
        <v/>
      </c>
      <c r="K11" s="7">
        <f>(I11-D11)/D11</f>
        <v/>
      </c>
      <c r="L11" s="7">
        <f>(I11/D11)^(1/5)-1</f>
        <v/>
      </c>
      <c r="M11" s="7">
        <f>(G11-D11)/D11</f>
        <v/>
      </c>
      <c r="N11" s="7">
        <f>(I11-G11)/G11</f>
        <v/>
      </c>
      <c r="O11" s="11" t="inlineStr">
        <is>
          <t>Estable (±)</t>
        </is>
      </c>
    </row>
    <row r="12">
      <c r="A12" s="4" t="inlineStr">
        <is>
          <t>28148</t>
        </is>
      </c>
      <c r="B12" s="4" t="inlineStr">
        <is>
          <t>Torrejón de Ardoz</t>
        </is>
      </c>
      <c r="C12" s="4" t="inlineStr">
        <is>
          <t>Henares (E)</t>
        </is>
      </c>
      <c r="D12" s="5" t="n">
        <v>132853</v>
      </c>
      <c r="E12" s="5" t="n">
        <v>132771</v>
      </c>
      <c r="F12" s="5" t="n">
        <v>134733</v>
      </c>
      <c r="G12" s="5" t="n">
        <v>137711</v>
      </c>
      <c r="H12" s="5" t="n">
        <v>140626</v>
      </c>
      <c r="I12" s="5" t="n">
        <v>143526</v>
      </c>
      <c r="J12" s="6">
        <f>I12-D12</f>
        <v/>
      </c>
      <c r="K12" s="7">
        <f>(I12-D12)/D12</f>
        <v/>
      </c>
      <c r="L12" s="7">
        <f>(I12/D12)^(1/5)-1</f>
        <v/>
      </c>
      <c r="M12" s="7">
        <f>(G12-D12)/D12</f>
        <v/>
      </c>
      <c r="N12" s="7">
        <f>(I12-G12)/G12</f>
        <v/>
      </c>
      <c r="O12" s="8" t="inlineStr">
        <is>
          <t>Alto (5-12%)</t>
        </is>
      </c>
    </row>
    <row r="13">
      <c r="A13" s="4" t="inlineStr">
        <is>
          <t>28106</t>
        </is>
      </c>
      <c r="B13" s="4" t="inlineStr">
        <is>
          <t>Parla</t>
        </is>
      </c>
      <c r="C13" s="4" t="inlineStr">
        <is>
          <t>Sur (A-4/A-42)</t>
        </is>
      </c>
      <c r="D13" s="5" t="n">
        <v>133482</v>
      </c>
      <c r="E13" s="5" t="n">
        <v>131689</v>
      </c>
      <c r="F13" s="5" t="n">
        <v>130577</v>
      </c>
      <c r="G13" s="5" t="n">
        <v>133004</v>
      </c>
      <c r="H13" s="5" t="n">
        <v>134833</v>
      </c>
      <c r="I13" s="5" t="n">
        <v>137471</v>
      </c>
      <c r="J13" s="6">
        <f>I13-D13</f>
        <v/>
      </c>
      <c r="K13" s="7">
        <f>(I13-D13)/D13</f>
        <v/>
      </c>
      <c r="L13" s="7">
        <f>(I13/D13)^(1/5)-1</f>
        <v/>
      </c>
      <c r="M13" s="7">
        <f>(G13-D13)/D13</f>
        <v/>
      </c>
      <c r="N13" s="7">
        <f>(I13-G13)/G13</f>
        <v/>
      </c>
      <c r="O13" s="9" t="inlineStr">
        <is>
          <t>Moderado (2-5%)</t>
        </is>
      </c>
    </row>
    <row r="14">
      <c r="A14" s="4" t="inlineStr">
        <is>
          <t>28006</t>
        </is>
      </c>
      <c r="B14" s="4" t="inlineStr">
        <is>
          <t>Alcobendas</t>
        </is>
      </c>
      <c r="C14" s="4" t="inlineStr">
        <is>
          <t>Norte (A-1)</t>
        </is>
      </c>
      <c r="D14" s="5" t="n">
        <v>118417</v>
      </c>
      <c r="E14" s="5" t="n">
        <v>116589</v>
      </c>
      <c r="F14" s="5" t="n">
        <v>117041</v>
      </c>
      <c r="G14" s="5" t="n">
        <v>119416</v>
      </c>
      <c r="H14" s="5" t="n">
        <v>121373</v>
      </c>
      <c r="I14" s="5" t="n">
        <v>123342</v>
      </c>
      <c r="J14" s="6">
        <f>I14-D14</f>
        <v/>
      </c>
      <c r="K14" s="7">
        <f>(I14-D14)/D14</f>
        <v/>
      </c>
      <c r="L14" s="7">
        <f>(I14/D14)^(1/5)-1</f>
        <v/>
      </c>
      <c r="M14" s="7">
        <f>(G14-D14)/D14</f>
        <v/>
      </c>
      <c r="N14" s="7">
        <f>(I14-G14)/G14</f>
        <v/>
      </c>
      <c r="O14" s="9" t="inlineStr">
        <is>
          <t>Moderado (2-5%)</t>
        </is>
      </c>
    </row>
    <row r="15">
      <c r="A15" s="4" t="inlineStr">
        <is>
          <t>28123</t>
        </is>
      </c>
      <c r="B15" s="4" t="inlineStr">
        <is>
          <t>Rivas-Vaciamadrid</t>
        </is>
      </c>
      <c r="C15" s="4" t="inlineStr">
        <is>
          <t>Sureste (A-3)</t>
        </is>
      </c>
      <c r="D15" s="5" t="n">
        <v>90973</v>
      </c>
      <c r="E15" s="5" t="n">
        <v>92925</v>
      </c>
      <c r="F15" s="5" t="n">
        <v>96690</v>
      </c>
      <c r="G15" s="5" t="n">
        <v>100275</v>
      </c>
      <c r="H15" s="5" t="n">
        <v>101949</v>
      </c>
      <c r="I15" s="5" t="n">
        <v>103148</v>
      </c>
      <c r="J15" s="6">
        <f>I15-D15</f>
        <v/>
      </c>
      <c r="K15" s="7">
        <f>(I15-D15)/D15</f>
        <v/>
      </c>
      <c r="L15" s="7">
        <f>(I15/D15)^(1/5)-1</f>
        <v/>
      </c>
      <c r="M15" s="7">
        <f>(G15-D15)/D15</f>
        <v/>
      </c>
      <c r="N15" s="7">
        <f>(I15-G15)/G15</f>
        <v/>
      </c>
      <c r="O15" s="12" t="inlineStr">
        <is>
          <t>Fuerte (+12%)</t>
        </is>
      </c>
    </row>
    <row r="16">
      <c r="A16" s="4" t="inlineStr">
        <is>
          <t>28127</t>
        </is>
      </c>
      <c r="B16" s="4" t="inlineStr">
        <is>
          <t>Rozas de Madrid, Las</t>
        </is>
      </c>
      <c r="C16" s="4" t="inlineStr">
        <is>
          <t>Noroeste (A-6)</t>
        </is>
      </c>
      <c r="D16" s="5" t="n">
        <v>96113</v>
      </c>
      <c r="E16" s="5" t="n">
        <v>94862</v>
      </c>
      <c r="F16" s="5" t="n">
        <v>95725</v>
      </c>
      <c r="G16" s="5" t="n">
        <v>98086</v>
      </c>
      <c r="H16" s="5" t="n">
        <v>98590</v>
      </c>
      <c r="I16" s="5" t="n">
        <v>99037</v>
      </c>
      <c r="J16" s="6">
        <f>I16-D16</f>
        <v/>
      </c>
      <c r="K16" s="7">
        <f>(I16-D16)/D16</f>
        <v/>
      </c>
      <c r="L16" s="7">
        <f>(I16/D16)^(1/5)-1</f>
        <v/>
      </c>
      <c r="M16" s="7">
        <f>(G16-D16)/D16</f>
        <v/>
      </c>
      <c r="N16" s="7">
        <f>(I16-G16)/G16</f>
        <v/>
      </c>
      <c r="O16" s="9" t="inlineStr">
        <is>
          <t>Moderado (2-5%)</t>
        </is>
      </c>
    </row>
    <row r="17">
      <c r="A17" s="4" t="inlineStr">
        <is>
          <t>28134</t>
        </is>
      </c>
      <c r="B17" s="4" t="inlineStr">
        <is>
          <t>San Sebastián de los Reyes</t>
        </is>
      </c>
      <c r="C17" s="4" t="inlineStr">
        <is>
          <t>Norte (A-1)</t>
        </is>
      </c>
      <c r="D17" s="5" t="n">
        <v>91224</v>
      </c>
      <c r="E17" s="5" t="n">
        <v>90962</v>
      </c>
      <c r="F17" s="5" t="n">
        <v>91083</v>
      </c>
      <c r="G17" s="5" t="n">
        <v>92734</v>
      </c>
      <c r="H17" s="5" t="n">
        <v>94969</v>
      </c>
      <c r="I17" s="5" t="n">
        <v>96992</v>
      </c>
      <c r="J17" s="6">
        <f>I17-D17</f>
        <v/>
      </c>
      <c r="K17" s="7">
        <f>(I17-D17)/D17</f>
        <v/>
      </c>
      <c r="L17" s="7">
        <f>(I17/D17)^(1/5)-1</f>
        <v/>
      </c>
      <c r="M17" s="7">
        <f>(G17-D17)/D17</f>
        <v/>
      </c>
      <c r="N17" s="7">
        <f>(I17-G17)/G17</f>
        <v/>
      </c>
      <c r="O17" s="8" t="inlineStr">
        <is>
          <t>Alto (5-12%)</t>
        </is>
      </c>
    </row>
    <row r="18">
      <c r="A18" s="4" t="inlineStr">
        <is>
          <t>28115</t>
        </is>
      </c>
      <c r="B18" s="4" t="inlineStr">
        <is>
          <t>Pozuelo de Alarcón</t>
        </is>
      </c>
      <c r="C18" s="4" t="inlineStr">
        <is>
          <t>Noroeste (A-6)</t>
        </is>
      </c>
      <c r="D18" s="5" t="n">
        <v>87165</v>
      </c>
      <c r="E18" s="5" t="n">
        <v>87134</v>
      </c>
      <c r="F18" s="5" t="n">
        <v>87728</v>
      </c>
      <c r="G18" s="5" t="n">
        <v>88784</v>
      </c>
      <c r="H18" s="5" t="n">
        <v>89378</v>
      </c>
      <c r="I18" s="5" t="n">
        <v>89770</v>
      </c>
      <c r="J18" s="6">
        <f>I18-D18</f>
        <v/>
      </c>
      <c r="K18" s="7">
        <f>(I18-D18)/D18</f>
        <v/>
      </c>
      <c r="L18" s="7">
        <f>(I18/D18)^(1/5)-1</f>
        <v/>
      </c>
      <c r="M18" s="7">
        <f>(G18-D18)/D18</f>
        <v/>
      </c>
      <c r="N18" s="7">
        <f>(I18-G18)/G18</f>
        <v/>
      </c>
      <c r="O18" s="9" t="inlineStr">
        <is>
          <t>Moderado (2-5%)</t>
        </is>
      </c>
    </row>
    <row r="19">
      <c r="A19" s="4" t="inlineStr">
        <is>
          <t>28161</t>
        </is>
      </c>
      <c r="B19" s="4" t="inlineStr">
        <is>
          <t>Valdemoro</t>
        </is>
      </c>
      <c r="C19" s="4" t="inlineStr">
        <is>
          <t>Sur (A-4/A-42)</t>
        </is>
      </c>
      <c r="D19" s="5" t="n">
        <v>77270</v>
      </c>
      <c r="E19" s="5" t="n">
        <v>77587</v>
      </c>
      <c r="F19" s="5" t="n">
        <v>79100</v>
      </c>
      <c r="G19" s="5" t="n">
        <v>81394</v>
      </c>
      <c r="H19" s="5" t="n">
        <v>83507</v>
      </c>
      <c r="I19" s="5" t="n">
        <v>85972</v>
      </c>
      <c r="J19" s="6">
        <f>I19-D19</f>
        <v/>
      </c>
      <c r="K19" s="7">
        <f>(I19-D19)/D19</f>
        <v/>
      </c>
      <c r="L19" s="7">
        <f>(I19/D19)^(1/5)-1</f>
        <v/>
      </c>
      <c r="M19" s="7">
        <f>(G19-D19)/D19</f>
        <v/>
      </c>
      <c r="N19" s="7">
        <f>(I19-G19)/G19</f>
        <v/>
      </c>
      <c r="O19" s="8" t="inlineStr">
        <is>
          <t>Alto (5-12%)</t>
        </is>
      </c>
    </row>
    <row r="20">
      <c r="A20" s="4" t="inlineStr">
        <is>
          <t>28049</t>
        </is>
      </c>
      <c r="B20" s="4" t="inlineStr">
        <is>
          <t>Coslada</t>
        </is>
      </c>
      <c r="C20" s="4" t="inlineStr">
        <is>
          <t>Henares (E)</t>
        </is>
      </c>
      <c r="D20" s="5" t="n">
        <v>81391</v>
      </c>
      <c r="E20" s="5" t="n">
        <v>81273</v>
      </c>
      <c r="F20" s="5" t="n">
        <v>80596</v>
      </c>
      <c r="G20" s="5" t="n">
        <v>80171</v>
      </c>
      <c r="H20" s="5" t="n">
        <v>80760</v>
      </c>
      <c r="I20" s="5" t="n">
        <v>80512</v>
      </c>
      <c r="J20" s="6">
        <f>I20-D20</f>
        <v/>
      </c>
      <c r="K20" s="7">
        <f>(I20-D20)/D20</f>
        <v/>
      </c>
      <c r="L20" s="7">
        <f>(I20/D20)^(1/5)-1</f>
        <v/>
      </c>
      <c r="M20" s="7">
        <f>(G20-D20)/D20</f>
        <v/>
      </c>
      <c r="N20" s="7">
        <f>(I20-G20)/G20</f>
        <v/>
      </c>
      <c r="O20" s="10" t="inlineStr">
        <is>
          <t>Decrece</t>
        </is>
      </c>
    </row>
    <row r="21">
      <c r="A21" s="4" t="inlineStr">
        <is>
          <t>28080</t>
        </is>
      </c>
      <c r="B21" s="4" t="inlineStr">
        <is>
          <t>Majadahonda</t>
        </is>
      </c>
      <c r="C21" s="4" t="inlineStr">
        <is>
          <t>Noroeste (A-6)</t>
        </is>
      </c>
      <c r="D21" s="5" t="n">
        <v>72155</v>
      </c>
      <c r="E21" s="5" t="n">
        <v>72034</v>
      </c>
      <c r="F21" s="5" t="n">
        <v>72179</v>
      </c>
      <c r="G21" s="5" t="n">
        <v>72548</v>
      </c>
      <c r="H21" s="5" t="n">
        <v>73355</v>
      </c>
      <c r="I21" s="5" t="n">
        <v>73625</v>
      </c>
      <c r="J21" s="6">
        <f>I21-D21</f>
        <v/>
      </c>
      <c r="K21" s="7">
        <f>(I21-D21)/D21</f>
        <v/>
      </c>
      <c r="L21" s="7">
        <f>(I21/D21)^(1/5)-1</f>
        <v/>
      </c>
      <c r="M21" s="7">
        <f>(G21-D21)/D21</f>
        <v/>
      </c>
      <c r="N21" s="7">
        <f>(I21-G21)/G21</f>
        <v/>
      </c>
      <c r="O21" s="9" t="inlineStr">
        <is>
          <t>Moderado (2-5%)</t>
        </is>
      </c>
    </row>
    <row r="22">
      <c r="A22" s="4" t="inlineStr">
        <is>
          <t>28047</t>
        </is>
      </c>
      <c r="B22" s="4" t="inlineStr">
        <is>
          <t>Collado Villalba</t>
        </is>
      </c>
      <c r="C22" s="4" t="inlineStr">
        <is>
          <t>Noroeste (A-6)</t>
        </is>
      </c>
      <c r="D22" s="5" t="n">
        <v>64378</v>
      </c>
      <c r="E22" s="5" t="n">
        <v>63825</v>
      </c>
      <c r="F22" s="5" t="n">
        <v>64263</v>
      </c>
      <c r="G22" s="5" t="n">
        <v>65657</v>
      </c>
      <c r="H22" s="5" t="n">
        <v>66698</v>
      </c>
      <c r="I22" s="5" t="n">
        <v>67274</v>
      </c>
      <c r="J22" s="6">
        <f>I22-D22</f>
        <v/>
      </c>
      <c r="K22" s="7">
        <f>(I22-D22)/D22</f>
        <v/>
      </c>
      <c r="L22" s="7">
        <f>(I22/D22)^(1/5)-1</f>
        <v/>
      </c>
      <c r="M22" s="7">
        <f>(G22-D22)/D22</f>
        <v/>
      </c>
      <c r="N22" s="7">
        <f>(I22-G22)/G22</f>
        <v/>
      </c>
      <c r="O22" s="9" t="inlineStr">
        <is>
          <t>Moderado (2-5%)</t>
        </is>
      </c>
    </row>
    <row r="23">
      <c r="A23" s="4" t="inlineStr">
        <is>
          <t>28022</t>
        </is>
      </c>
      <c r="B23" s="4" t="inlineStr">
        <is>
          <t>Boadilla del Monte</t>
        </is>
      </c>
      <c r="C23" s="4" t="inlineStr">
        <is>
          <t>Noroeste (A-6)</t>
        </is>
      </c>
      <c r="D23" s="5" t="n">
        <v>56734</v>
      </c>
      <c r="E23" s="5" t="n">
        <v>59052</v>
      </c>
      <c r="F23" s="5" t="n">
        <v>62627</v>
      </c>
      <c r="G23" s="5" t="n">
        <v>64742</v>
      </c>
      <c r="H23" s="5" t="n">
        <v>65839</v>
      </c>
      <c r="I23" s="5" t="n">
        <v>66349</v>
      </c>
      <c r="J23" s="6">
        <f>I23-D23</f>
        <v/>
      </c>
      <c r="K23" s="7">
        <f>(I23-D23)/D23</f>
        <v/>
      </c>
      <c r="L23" s="7">
        <f>(I23/D23)^(1/5)-1</f>
        <v/>
      </c>
      <c r="M23" s="7">
        <f>(G23-D23)/D23</f>
        <v/>
      </c>
      <c r="N23" s="7">
        <f>(I23-G23)/G23</f>
        <v/>
      </c>
      <c r="O23" s="12" t="inlineStr">
        <is>
          <t>Fuerte (+12%)</t>
        </is>
      </c>
    </row>
    <row r="24">
      <c r="A24" s="4" t="inlineStr">
        <is>
          <t>28013</t>
        </is>
      </c>
      <c r="B24" s="4" t="inlineStr">
        <is>
          <t>Aranjuez</t>
        </is>
      </c>
      <c r="C24" s="4" t="inlineStr">
        <is>
          <t>Sureste (A-3)</t>
        </is>
      </c>
      <c r="D24" s="5" t="n">
        <v>60332</v>
      </c>
      <c r="E24" s="5" t="n">
        <v>59833</v>
      </c>
      <c r="F24" s="5" t="n">
        <v>59762</v>
      </c>
      <c r="G24" s="5" t="n">
        <v>60668</v>
      </c>
      <c r="H24" s="5" t="n">
        <v>62292</v>
      </c>
      <c r="I24" s="5" t="n">
        <v>63040</v>
      </c>
      <c r="J24" s="6">
        <f>I24-D24</f>
        <v/>
      </c>
      <c r="K24" s="7">
        <f>(I24-D24)/D24</f>
        <v/>
      </c>
      <c r="L24" s="7">
        <f>(I24/D24)^(1/5)-1</f>
        <v/>
      </c>
      <c r="M24" s="7">
        <f>(G24-D24)/D24</f>
        <v/>
      </c>
      <c r="N24" s="7">
        <f>(I24-G24)/G24</f>
        <v/>
      </c>
      <c r="O24" s="9" t="inlineStr">
        <is>
          <t>Moderado (2-5%)</t>
        </is>
      </c>
    </row>
    <row r="25">
      <c r="A25" s="4" t="inlineStr">
        <is>
          <t>28014</t>
        </is>
      </c>
      <c r="B25" s="4" t="inlineStr">
        <is>
          <t>Arganda del Rey</t>
        </is>
      </c>
      <c r="C25" s="4" t="inlineStr">
        <is>
          <t>Sureste (A-3)</t>
        </is>
      </c>
      <c r="D25" s="5" t="n">
        <v>56678</v>
      </c>
      <c r="E25" s="5" t="n">
        <v>56386</v>
      </c>
      <c r="F25" s="5" t="n">
        <v>57553</v>
      </c>
      <c r="G25" s="5" t="n">
        <v>58990</v>
      </c>
      <c r="H25" s="5" t="n">
        <v>59513</v>
      </c>
      <c r="I25" s="5" t="n">
        <v>60419</v>
      </c>
      <c r="J25" s="6">
        <f>I25-D25</f>
        <v/>
      </c>
      <c r="K25" s="7">
        <f>(I25-D25)/D25</f>
        <v/>
      </c>
      <c r="L25" s="7">
        <f>(I25/D25)^(1/5)-1</f>
        <v/>
      </c>
      <c r="M25" s="7">
        <f>(G25-D25)/D25</f>
        <v/>
      </c>
      <c r="N25" s="7">
        <f>(I25-G25)/G25</f>
        <v/>
      </c>
      <c r="O25" s="8" t="inlineStr">
        <is>
          <t>Alto (5-12%)</t>
        </is>
      </c>
    </row>
    <row r="26">
      <c r="A26" s="4" t="inlineStr">
        <is>
          <t>28045</t>
        </is>
      </c>
      <c r="B26" s="4" t="inlineStr">
        <is>
          <t>Colmenar Viejo</t>
        </is>
      </c>
      <c r="C26" s="4" t="inlineStr">
        <is>
          <t>Norte (A-1)</t>
        </is>
      </c>
      <c r="D26" s="5" t="n">
        <v>51938</v>
      </c>
      <c r="E26" s="5" t="n">
        <v>52480</v>
      </c>
      <c r="F26" s="5" t="n">
        <v>53389</v>
      </c>
      <c r="G26" s="5" t="n">
        <v>55198</v>
      </c>
      <c r="H26" s="5" t="n">
        <v>57029</v>
      </c>
      <c r="I26" s="5" t="n">
        <v>58730</v>
      </c>
      <c r="J26" s="6">
        <f>I26-D26</f>
        <v/>
      </c>
      <c r="K26" s="7">
        <f>(I26-D26)/D26</f>
        <v/>
      </c>
      <c r="L26" s="7">
        <f>(I26/D26)^(1/5)-1</f>
        <v/>
      </c>
      <c r="M26" s="7">
        <f>(G26-D26)/D26</f>
        <v/>
      </c>
      <c r="N26" s="7">
        <f>(I26-G26)/G26</f>
        <v/>
      </c>
      <c r="O26" s="12" t="inlineStr">
        <is>
          <t>Fuerte (+12%)</t>
        </is>
      </c>
    </row>
    <row r="27">
      <c r="A27" s="4" t="inlineStr">
        <is>
          <t>28113</t>
        </is>
      </c>
      <c r="B27" s="4" t="inlineStr">
        <is>
          <t>Pinto</t>
        </is>
      </c>
      <c r="C27" s="4" t="inlineStr">
        <is>
          <t>Sur (A-4/A-42)</t>
        </is>
      </c>
      <c r="D27" s="5" t="n">
        <v>53325</v>
      </c>
      <c r="E27" s="5" t="n">
        <v>53537</v>
      </c>
      <c r="F27" s="5" t="n">
        <v>54088</v>
      </c>
      <c r="G27" s="5" t="n">
        <v>55208</v>
      </c>
      <c r="H27" s="5" t="n">
        <v>56003</v>
      </c>
      <c r="I27" s="5" t="n">
        <v>56651</v>
      </c>
      <c r="J27" s="6">
        <f>I27-D27</f>
        <v/>
      </c>
      <c r="K27" s="7">
        <f>(I27-D27)/D27</f>
        <v/>
      </c>
      <c r="L27" s="7">
        <f>(I27/D27)^(1/5)-1</f>
        <v/>
      </c>
      <c r="M27" s="7">
        <f>(G27-D27)/D27</f>
        <v/>
      </c>
      <c r="N27" s="7">
        <f>(I27-G27)/G27</f>
        <v/>
      </c>
      <c r="O27" s="8" t="inlineStr">
        <is>
          <t>Alto (5-12%)</t>
        </is>
      </c>
    </row>
    <row r="28">
      <c r="A28" s="4" t="inlineStr">
        <is>
          <t>28903</t>
        </is>
      </c>
      <c r="B28" s="4" t="inlineStr">
        <is>
          <t>Tres Cantos</t>
        </is>
      </c>
      <c r="C28" s="4" t="inlineStr">
        <is>
          <t>Norte (A-1)</t>
        </is>
      </c>
      <c r="D28" s="5" t="n">
        <v>48326</v>
      </c>
      <c r="E28" s="5" t="n">
        <v>48751</v>
      </c>
      <c r="F28" s="5" t="n">
        <v>50187</v>
      </c>
      <c r="G28" s="5" t="n">
        <v>51453</v>
      </c>
      <c r="H28" s="5" t="n">
        <v>52932</v>
      </c>
      <c r="I28" s="5" t="n">
        <v>54592</v>
      </c>
      <c r="J28" s="6">
        <f>I28-D28</f>
        <v/>
      </c>
      <c r="K28" s="7">
        <f>(I28-D28)/D28</f>
        <v/>
      </c>
      <c r="L28" s="7">
        <f>(I28/D28)^(1/5)-1</f>
        <v/>
      </c>
      <c r="M28" s="7">
        <f>(G28-D28)/D28</f>
        <v/>
      </c>
      <c r="N28" s="7">
        <f>(I28-G28)/G28</f>
        <v/>
      </c>
      <c r="O28" s="12" t="inlineStr">
        <is>
          <t>Fuerte (+12%)</t>
        </is>
      </c>
    </row>
    <row r="29">
      <c r="A29" s="4" t="inlineStr">
        <is>
          <t>28130</t>
        </is>
      </c>
      <c r="B29" s="4" t="inlineStr">
        <is>
          <t>San Fernando de Henares</t>
        </is>
      </c>
      <c r="C29" s="4" t="inlineStr">
        <is>
          <t>Henares (E)</t>
        </is>
      </c>
      <c r="D29" s="5" t="n">
        <v>39566</v>
      </c>
      <c r="E29" s="5" t="n">
        <v>39313</v>
      </c>
      <c r="F29" s="5" t="n">
        <v>38904</v>
      </c>
      <c r="G29" s="5" t="n">
        <v>38974</v>
      </c>
      <c r="H29" s="5" t="n">
        <v>38980</v>
      </c>
      <c r="I29" s="5" t="n">
        <v>39059</v>
      </c>
      <c r="J29" s="6">
        <f>I29-D29</f>
        <v/>
      </c>
      <c r="K29" s="7">
        <f>(I29-D29)/D29</f>
        <v/>
      </c>
      <c r="L29" s="7">
        <f>(I29/D29)^(1/5)-1</f>
        <v/>
      </c>
      <c r="M29" s="7">
        <f>(G29-D29)/D29</f>
        <v/>
      </c>
      <c r="N29" s="7">
        <f>(I29-G29)/G29</f>
        <v/>
      </c>
      <c r="O29" s="10" t="inlineStr">
        <is>
          <t>Decrece</t>
        </is>
      </c>
    </row>
    <row r="30">
      <c r="A30" s="4" t="inlineStr">
        <is>
          <t>28015</t>
        </is>
      </c>
      <c r="B30" s="4" t="inlineStr">
        <is>
          <t>Arroyomolinos</t>
        </is>
      </c>
      <c r="C30" s="4" t="inlineStr">
        <is>
          <t>Sudoeste (A-5)</t>
        </is>
      </c>
      <c r="D30" s="5" t="n">
        <v>32935</v>
      </c>
      <c r="E30" s="5" t="n">
        <v>33687</v>
      </c>
      <c r="F30" s="5" t="n">
        <v>34833</v>
      </c>
      <c r="G30" s="5" t="n">
        <v>35972</v>
      </c>
      <c r="H30" s="5" t="n">
        <v>37208</v>
      </c>
      <c r="I30" s="5" t="n">
        <v>38075</v>
      </c>
      <c r="J30" s="6">
        <f>I30-D30</f>
        <v/>
      </c>
      <c r="K30" s="7">
        <f>(I30-D30)/D30</f>
        <v/>
      </c>
      <c r="L30" s="7">
        <f>(I30/D30)^(1/5)-1</f>
        <v/>
      </c>
      <c r="M30" s="7">
        <f>(G30-D30)/D30</f>
        <v/>
      </c>
      <c r="N30" s="7">
        <f>(I30-G30)/G30</f>
        <v/>
      </c>
      <c r="O30" s="12" t="inlineStr">
        <is>
          <t>Fuerte (+12%)</t>
        </is>
      </c>
    </row>
    <row r="31">
      <c r="A31" s="4" t="inlineStr">
        <is>
          <t>28061</t>
        </is>
      </c>
      <c r="B31" s="4" t="inlineStr">
        <is>
          <t>Galapagar</t>
        </is>
      </c>
      <c r="C31" s="4" t="inlineStr">
        <is>
          <t>Noroeste (A-6)</t>
        </is>
      </c>
      <c r="D31" s="5" t="n">
        <v>34497</v>
      </c>
      <c r="E31" s="5" t="n">
        <v>34712</v>
      </c>
      <c r="F31" s="5" t="n">
        <v>34834</v>
      </c>
      <c r="G31" s="5" t="n">
        <v>35273</v>
      </c>
      <c r="H31" s="5" t="n">
        <v>36184</v>
      </c>
      <c r="I31" s="5" t="n">
        <v>36758</v>
      </c>
      <c r="J31" s="6">
        <f>I31-D31</f>
        <v/>
      </c>
      <c r="K31" s="7">
        <f>(I31-D31)/D31</f>
        <v/>
      </c>
      <c r="L31" s="7">
        <f>(I31/D31)^(1/5)-1</f>
        <v/>
      </c>
      <c r="M31" s="7">
        <f>(G31-D31)/D31</f>
        <v/>
      </c>
      <c r="N31" s="7">
        <f>(I31-G31)/G31</f>
        <v/>
      </c>
      <c r="O31" s="8" t="inlineStr">
        <is>
          <t>Alto (5-12%)</t>
        </is>
      </c>
    </row>
    <row r="32">
      <c r="A32" s="4" t="inlineStr">
        <is>
          <t>28096</t>
        </is>
      </c>
      <c r="B32" s="4" t="inlineStr">
        <is>
          <t>Navalcarnero</t>
        </is>
      </c>
      <c r="C32" s="4" t="inlineStr">
        <is>
          <t>Sudoeste (A-5)</t>
        </is>
      </c>
      <c r="D32" s="5" t="n">
        <v>29985</v>
      </c>
      <c r="E32" s="5" t="n">
        <v>30695</v>
      </c>
      <c r="F32" s="5" t="n">
        <v>31379</v>
      </c>
      <c r="G32" s="5" t="n">
        <v>31974</v>
      </c>
      <c r="H32" s="5" t="n">
        <v>32683</v>
      </c>
      <c r="I32" s="5" t="n">
        <v>33331</v>
      </c>
      <c r="J32" s="6">
        <f>I32-D32</f>
        <v/>
      </c>
      <c r="K32" s="7">
        <f>(I32-D32)/D32</f>
        <v/>
      </c>
      <c r="L32" s="7">
        <f>(I32/D32)^(1/5)-1</f>
        <v/>
      </c>
      <c r="M32" s="7">
        <f>(G32-D32)/D32</f>
        <v/>
      </c>
      <c r="N32" s="7">
        <f>(I32-G32)/G32</f>
        <v/>
      </c>
      <c r="O32" s="8" t="inlineStr">
        <is>
          <t>Alto (5-12%)</t>
        </is>
      </c>
    </row>
    <row r="33">
      <c r="A33" s="4" t="inlineStr">
        <is>
          <t>28181</t>
        </is>
      </c>
      <c r="B33" s="4" t="inlineStr">
        <is>
          <t>Villaviciosa de Odón</t>
        </is>
      </c>
      <c r="C33" s="4" t="inlineStr">
        <is>
          <t>Sudoeste (A-5)</t>
        </is>
      </c>
      <c r="D33" s="5" t="n">
        <v>28148</v>
      </c>
      <c r="E33" s="5" t="n">
        <v>28030</v>
      </c>
      <c r="F33" s="5" t="n">
        <v>28152</v>
      </c>
      <c r="G33" s="5" t="n">
        <v>28750</v>
      </c>
      <c r="H33" s="5" t="n">
        <v>29273</v>
      </c>
      <c r="I33" s="5" t="n">
        <v>30127</v>
      </c>
      <c r="J33" s="6">
        <f>I33-D33</f>
        <v/>
      </c>
      <c r="K33" s="7">
        <f>(I33-D33)/D33</f>
        <v/>
      </c>
      <c r="L33" s="7">
        <f>(I33/D33)^(1/5)-1</f>
        <v/>
      </c>
      <c r="M33" s="7">
        <f>(G33-D33)/D33</f>
        <v/>
      </c>
      <c r="N33" s="7">
        <f>(I33-G33)/G33</f>
        <v/>
      </c>
      <c r="O33" s="8" t="inlineStr">
        <is>
          <t>Alto (5-12%)</t>
        </is>
      </c>
    </row>
    <row r="34">
      <c r="A34" s="4" t="inlineStr">
        <is>
          <t>28104</t>
        </is>
      </c>
      <c r="B34" s="4" t="inlineStr">
        <is>
          <t>Paracuellos de Jarama</t>
        </is>
      </c>
      <c r="C34" s="4" t="inlineStr">
        <is>
          <t>Sierra Norte / Rural</t>
        </is>
      </c>
      <c r="D34" s="5" t="n">
        <v>25917</v>
      </c>
      <c r="E34" s="5" t="n">
        <v>26235</v>
      </c>
      <c r="F34" s="5" t="n">
        <v>26450</v>
      </c>
      <c r="G34" s="5" t="n">
        <v>27000</v>
      </c>
      <c r="H34" s="5" t="n">
        <v>27238</v>
      </c>
      <c r="I34" s="5" t="n">
        <v>27650</v>
      </c>
      <c r="J34" s="6">
        <f>I34-D34</f>
        <v/>
      </c>
      <c r="K34" s="7">
        <f>(I34-D34)/D34</f>
        <v/>
      </c>
      <c r="L34" s="7">
        <f>(I34/D34)^(1/5)-1</f>
        <v/>
      </c>
      <c r="M34" s="7">
        <f>(G34-D34)/D34</f>
        <v/>
      </c>
      <c r="N34" s="7">
        <f>(I34-G34)/G34</f>
        <v/>
      </c>
      <c r="O34" s="8" t="inlineStr">
        <is>
          <t>Alto (5-12%)</t>
        </is>
      </c>
    </row>
    <row r="35">
      <c r="A35" s="4" t="inlineStr">
        <is>
          <t>28040</t>
        </is>
      </c>
      <c r="B35" s="4" t="inlineStr">
        <is>
          <t>Ciempozuelos</t>
        </is>
      </c>
      <c r="C35" s="4" t="inlineStr">
        <is>
          <t>Sur (A-4/A-42)</t>
        </is>
      </c>
      <c r="D35" s="5" t="n">
        <v>25104</v>
      </c>
      <c r="E35" s="5" t="n">
        <v>25083</v>
      </c>
      <c r="F35" s="5" t="n">
        <v>25383</v>
      </c>
      <c r="G35" s="5" t="n">
        <v>25866</v>
      </c>
      <c r="H35" s="5" t="n">
        <v>26140</v>
      </c>
      <c r="I35" s="5" t="n">
        <v>26350</v>
      </c>
      <c r="J35" s="6">
        <f>I35-D35</f>
        <v/>
      </c>
      <c r="K35" s="7">
        <f>(I35-D35)/D35</f>
        <v/>
      </c>
      <c r="L35" s="7">
        <f>(I35/D35)^(1/5)-1</f>
        <v/>
      </c>
      <c r="M35" s="7">
        <f>(G35-D35)/D35</f>
        <v/>
      </c>
      <c r="N35" s="7">
        <f>(I35-G35)/G35</f>
        <v/>
      </c>
      <c r="O35" s="9" t="inlineStr">
        <is>
          <t>Moderado (2-5%)</t>
        </is>
      </c>
    </row>
    <row r="36">
      <c r="A36" s="4" t="inlineStr">
        <is>
          <t>28152</t>
        </is>
      </c>
      <c r="B36" s="4" t="inlineStr">
        <is>
          <t>Torrelodones</t>
        </is>
      </c>
      <c r="C36" s="4" t="inlineStr">
        <is>
          <t>Noroeste (A-6)</t>
        </is>
      </c>
      <c r="D36" s="5" t="n">
        <v>23902</v>
      </c>
      <c r="E36" s="5" t="n">
        <v>24122</v>
      </c>
      <c r="F36" s="5" t="n">
        <v>24775</v>
      </c>
      <c r="G36" s="5" t="n">
        <v>25115</v>
      </c>
      <c r="H36" s="5" t="n">
        <v>25316</v>
      </c>
      <c r="I36" s="5" t="n">
        <v>25433</v>
      </c>
      <c r="J36" s="6">
        <f>I36-D36</f>
        <v/>
      </c>
      <c r="K36" s="7">
        <f>(I36-D36)/D36</f>
        <v/>
      </c>
      <c r="L36" s="7">
        <f>(I36/D36)^(1/5)-1</f>
        <v/>
      </c>
      <c r="M36" s="7">
        <f>(G36-D36)/D36</f>
        <v/>
      </c>
      <c r="N36" s="7">
        <f>(I36-G36)/G36</f>
        <v/>
      </c>
      <c r="O36" s="8" t="inlineStr">
        <is>
          <t>Alto (5-12%)</t>
        </is>
      </c>
    </row>
    <row r="37">
      <c r="A37" s="4" t="inlineStr">
        <is>
          <t>28084</t>
        </is>
      </c>
      <c r="B37" s="4" t="inlineStr">
        <is>
          <t>Mejorada del Campo</t>
        </is>
      </c>
      <c r="C37" s="4" t="inlineStr">
        <is>
          <t>Henares (E)</t>
        </is>
      </c>
      <c r="D37" s="5" t="n">
        <v>23639</v>
      </c>
      <c r="E37" s="5" t="n">
        <v>23737</v>
      </c>
      <c r="F37" s="5" t="n">
        <v>23897</v>
      </c>
      <c r="G37" s="5" t="n">
        <v>24274</v>
      </c>
      <c r="H37" s="5" t="n">
        <v>24659</v>
      </c>
      <c r="I37" s="5" t="n">
        <v>25049</v>
      </c>
      <c r="J37" s="6">
        <f>I37-D37</f>
        <v/>
      </c>
      <c r="K37" s="7">
        <f>(I37-D37)/D37</f>
        <v/>
      </c>
      <c r="L37" s="7">
        <f>(I37/D37)^(1/5)-1</f>
        <v/>
      </c>
      <c r="M37" s="7">
        <f>(G37-D37)/D37</f>
        <v/>
      </c>
      <c r="N37" s="7">
        <f>(I37-G37)/G37</f>
        <v/>
      </c>
      <c r="O37" s="8" t="inlineStr">
        <is>
          <t>Alto (5-12%)</t>
        </is>
      </c>
    </row>
    <row r="38">
      <c r="A38" s="4" t="inlineStr">
        <is>
          <t>28176</t>
        </is>
      </c>
      <c r="B38" s="4" t="inlineStr">
        <is>
          <t>Villanueva de la Cañada</t>
        </is>
      </c>
      <c r="C38" s="4" t="inlineStr">
        <is>
          <t>Sudoeste (A-5)</t>
        </is>
      </c>
      <c r="D38" s="5" t="n">
        <v>22115</v>
      </c>
      <c r="E38" s="5" t="n">
        <v>22580</v>
      </c>
      <c r="F38" s="5" t="n">
        <v>22845</v>
      </c>
      <c r="G38" s="5" t="n">
        <v>23593</v>
      </c>
      <c r="H38" s="5" t="n">
        <v>23799</v>
      </c>
      <c r="I38" s="5" t="n">
        <v>24028</v>
      </c>
      <c r="J38" s="6">
        <f>I38-D38</f>
        <v/>
      </c>
      <c r="K38" s="7">
        <f>(I38-D38)/D38</f>
        <v/>
      </c>
      <c r="L38" s="7">
        <f>(I38/D38)^(1/5)-1</f>
        <v/>
      </c>
      <c r="M38" s="7">
        <f>(G38-D38)/D38</f>
        <v/>
      </c>
      <c r="N38" s="7">
        <f>(I38-G38)/G38</f>
        <v/>
      </c>
      <c r="O38" s="8" t="inlineStr">
        <is>
          <t>Alto (5-12%)</t>
        </is>
      </c>
    </row>
    <row r="39">
      <c r="A39" s="4" t="inlineStr">
        <is>
          <t>28009</t>
        </is>
      </c>
      <c r="B39" s="4" t="inlineStr">
        <is>
          <t>Algete</t>
        </is>
      </c>
      <c r="C39" s="4" t="inlineStr">
        <is>
          <t>Norte (A-1)</t>
        </is>
      </c>
      <c r="D39" s="5" t="n">
        <v>20864</v>
      </c>
      <c r="E39" s="5" t="n">
        <v>20749</v>
      </c>
      <c r="F39" s="5" t="n">
        <v>20767</v>
      </c>
      <c r="G39" s="5" t="n">
        <v>20991</v>
      </c>
      <c r="H39" s="5" t="n">
        <v>21167</v>
      </c>
      <c r="I39" s="5" t="n">
        <v>21144</v>
      </c>
      <c r="J39" s="6">
        <f>I39-D39</f>
        <v/>
      </c>
      <c r="K39" s="7">
        <f>(I39-D39)/D39</f>
        <v/>
      </c>
      <c r="L39" s="7">
        <f>(I39/D39)^(1/5)-1</f>
        <v/>
      </c>
      <c r="M39" s="7">
        <f>(G39-D39)/D39</f>
        <v/>
      </c>
      <c r="N39" s="7">
        <f>(I39-G39)/G39</f>
        <v/>
      </c>
      <c r="O39" s="11" t="inlineStr">
        <is>
          <t>Estable (±)</t>
        </is>
      </c>
    </row>
    <row r="40">
      <c r="A40" s="4" t="inlineStr">
        <is>
          <t>28132</t>
        </is>
      </c>
      <c r="B40" s="4" t="inlineStr">
        <is>
          <t>San Martín de la Vega</t>
        </is>
      </c>
      <c r="C40" s="4" t="inlineStr">
        <is>
          <t>Sur (A-4/A-42)</t>
        </is>
      </c>
      <c r="D40" s="5" t="n">
        <v>19633</v>
      </c>
      <c r="E40" s="5" t="n">
        <v>19853</v>
      </c>
      <c r="F40" s="5" t="n">
        <v>19927</v>
      </c>
      <c r="G40" s="5" t="n">
        <v>20304</v>
      </c>
      <c r="H40" s="5" t="n">
        <v>20733</v>
      </c>
      <c r="I40" s="5" t="n">
        <v>21010</v>
      </c>
      <c r="J40" s="6">
        <f>I40-D40</f>
        <v/>
      </c>
      <c r="K40" s="7">
        <f>(I40-D40)/D40</f>
        <v/>
      </c>
      <c r="L40" s="7">
        <f>(I40/D40)^(1/5)-1</f>
        <v/>
      </c>
      <c r="M40" s="7">
        <f>(G40-D40)/D40</f>
        <v/>
      </c>
      <c r="N40" s="7">
        <f>(I40-G40)/G40</f>
        <v/>
      </c>
      <c r="O40" s="8" t="inlineStr">
        <is>
          <t>Alto (5-12%)</t>
        </is>
      </c>
    </row>
    <row r="41">
      <c r="A41" s="4" t="inlineStr">
        <is>
          <t>28073</t>
        </is>
      </c>
      <c r="B41" s="4" t="inlineStr">
        <is>
          <t>Humanes de Madrid</t>
        </is>
      </c>
      <c r="C41" s="4" t="inlineStr">
        <is>
          <t>Sur (A-4/A-42)</t>
        </is>
      </c>
      <c r="D41" s="5" t="n">
        <v>19701</v>
      </c>
      <c r="E41" s="5" t="n">
        <v>19736</v>
      </c>
      <c r="F41" s="5" t="n">
        <v>19838</v>
      </c>
      <c r="G41" s="5" t="n">
        <v>19902</v>
      </c>
      <c r="H41" s="5" t="n">
        <v>20074</v>
      </c>
      <c r="I41" s="5" t="n">
        <v>20500</v>
      </c>
      <c r="J41" s="6">
        <f>I41-D41</f>
        <v/>
      </c>
      <c r="K41" s="7">
        <f>(I41-D41)/D41</f>
        <v/>
      </c>
      <c r="L41" s="7">
        <f>(I41/D41)^(1/5)-1</f>
        <v/>
      </c>
      <c r="M41" s="7">
        <f>(G41-D41)/D41</f>
        <v/>
      </c>
      <c r="N41" s="7">
        <f>(I41-G41)/G41</f>
        <v/>
      </c>
      <c r="O41" s="9" t="inlineStr">
        <is>
          <t>Moderado (2-5%)</t>
        </is>
      </c>
    </row>
    <row r="42">
      <c r="A42" s="4" t="inlineStr">
        <is>
          <t>28131</t>
        </is>
      </c>
      <c r="B42" s="4" t="inlineStr">
        <is>
          <t>San Lorenzo de El Escorial</t>
        </is>
      </c>
      <c r="C42" s="4" t="inlineStr">
        <is>
          <t>Noroeste (A-6)</t>
        </is>
      </c>
      <c r="D42" s="5" t="n">
        <v>18532</v>
      </c>
      <c r="E42" s="5" t="n">
        <v>18454</v>
      </c>
      <c r="F42" s="5" t="n">
        <v>18423</v>
      </c>
      <c r="G42" s="5" t="n">
        <v>18489</v>
      </c>
      <c r="H42" s="5" t="n">
        <v>18735</v>
      </c>
      <c r="I42" s="5" t="n">
        <v>18872</v>
      </c>
      <c r="J42" s="6">
        <f>I42-D42</f>
        <v/>
      </c>
      <c r="K42" s="7">
        <f>(I42-D42)/D42</f>
        <v/>
      </c>
      <c r="L42" s="7">
        <f>(I42/D42)^(1/5)-1</f>
        <v/>
      </c>
      <c r="M42" s="7">
        <f>(G42-D42)/D42</f>
        <v/>
      </c>
      <c r="N42" s="7">
        <f>(I42-G42)/G42</f>
        <v/>
      </c>
      <c r="O42" s="11" t="inlineStr">
        <is>
          <t>Estable (±)</t>
        </is>
      </c>
    </row>
    <row r="43">
      <c r="A43" s="4" t="inlineStr">
        <is>
          <t>28172</t>
        </is>
      </c>
      <c r="B43" s="4" t="inlineStr">
        <is>
          <t>Villalbilla</t>
        </is>
      </c>
      <c r="C43" s="4" t="inlineStr">
        <is>
          <t>Henares (E)</t>
        </is>
      </c>
      <c r="D43" s="5" t="n">
        <v>14392</v>
      </c>
      <c r="E43" s="5" t="n">
        <v>15049</v>
      </c>
      <c r="F43" s="5" t="n">
        <v>15866</v>
      </c>
      <c r="G43" s="5" t="n">
        <v>16823</v>
      </c>
      <c r="H43" s="5" t="n">
        <v>18000</v>
      </c>
      <c r="I43" s="5" t="n">
        <v>18687</v>
      </c>
      <c r="J43" s="6">
        <f>I43-D43</f>
        <v/>
      </c>
      <c r="K43" s="7">
        <f>(I43-D43)/D43</f>
        <v/>
      </c>
      <c r="L43" s="7">
        <f>(I43/D43)^(1/5)-1</f>
        <v/>
      </c>
      <c r="M43" s="7">
        <f>(G43-D43)/D43</f>
        <v/>
      </c>
      <c r="N43" s="7">
        <f>(I43-G43)/G43</f>
        <v/>
      </c>
      <c r="O43" s="12" t="inlineStr">
        <is>
          <t>Fuerte (+12%)</t>
        </is>
      </c>
    </row>
    <row r="44">
      <c r="A44" s="4" t="inlineStr">
        <is>
          <t>28177</t>
        </is>
      </c>
      <c r="B44" s="4" t="inlineStr">
        <is>
          <t>Villanueva del Pardillo</t>
        </is>
      </c>
      <c r="C44" s="4" t="inlineStr">
        <is>
          <t>Sudoeste (A-5)</t>
        </is>
      </c>
      <c r="D44" s="5" t="n">
        <v>17396</v>
      </c>
      <c r="E44" s="5" t="n">
        <v>17310</v>
      </c>
      <c r="F44" s="5" t="n">
        <v>17382</v>
      </c>
      <c r="G44" s="5" t="n">
        <v>17731</v>
      </c>
      <c r="H44" s="5" t="n">
        <v>18086</v>
      </c>
      <c r="I44" s="5" t="n">
        <v>18466</v>
      </c>
      <c r="J44" s="6">
        <f>I44-D44</f>
        <v/>
      </c>
      <c r="K44" s="7">
        <f>(I44-D44)/D44</f>
        <v/>
      </c>
      <c r="L44" s="7">
        <f>(I44/D44)^(1/5)-1</f>
        <v/>
      </c>
      <c r="M44" s="7">
        <f>(G44-D44)/D44</f>
        <v/>
      </c>
      <c r="N44" s="7">
        <f>(I44-G44)/G44</f>
        <v/>
      </c>
      <c r="O44" s="8" t="inlineStr">
        <is>
          <t>Alto (5-12%)</t>
        </is>
      </c>
    </row>
    <row r="45">
      <c r="A45" s="4" t="inlineStr">
        <is>
          <t>28068</t>
        </is>
      </c>
      <c r="B45" s="4" t="inlineStr">
        <is>
          <t>Guadarrama</t>
        </is>
      </c>
      <c r="C45" s="4" t="inlineStr">
        <is>
          <t>Noroeste (A-6)</t>
        </is>
      </c>
      <c r="D45" s="5" t="n">
        <v>16560</v>
      </c>
      <c r="E45" s="5" t="n">
        <v>16747</v>
      </c>
      <c r="F45" s="5" t="n">
        <v>16921</v>
      </c>
      <c r="G45" s="5" t="n">
        <v>17063</v>
      </c>
      <c r="H45" s="5" t="n">
        <v>17062</v>
      </c>
      <c r="I45" s="5" t="n">
        <v>17547</v>
      </c>
      <c r="J45" s="6">
        <f>I45-D45</f>
        <v/>
      </c>
      <c r="K45" s="7">
        <f>(I45-D45)/D45</f>
        <v/>
      </c>
      <c r="L45" s="7">
        <f>(I45/D45)^(1/5)-1</f>
        <v/>
      </c>
      <c r="M45" s="7">
        <f>(G45-D45)/D45</f>
        <v/>
      </c>
      <c r="N45" s="7">
        <f>(I45-G45)/G45</f>
        <v/>
      </c>
      <c r="O45" s="8" t="inlineStr">
        <is>
          <t>Alto (5-12%)</t>
        </is>
      </c>
    </row>
    <row r="46">
      <c r="A46" s="4" t="inlineStr">
        <is>
          <t>28054</t>
        </is>
      </c>
      <c r="B46" s="4" t="inlineStr">
        <is>
          <t>Escorial, El</t>
        </is>
      </c>
      <c r="C46" s="4" t="inlineStr">
        <is>
          <t>Noroeste (A-6)</t>
        </is>
      </c>
      <c r="D46" s="5" t="n">
        <v>16365</v>
      </c>
      <c r="E46" s="5" t="n">
        <v>16594</v>
      </c>
      <c r="F46" s="5" t="n">
        <v>16618</v>
      </c>
      <c r="G46" s="5" t="n">
        <v>16873</v>
      </c>
      <c r="H46" s="5" t="n">
        <v>17176</v>
      </c>
      <c r="I46" s="5" t="n">
        <v>17171</v>
      </c>
      <c r="J46" s="6">
        <f>I46-D46</f>
        <v/>
      </c>
      <c r="K46" s="7">
        <f>(I46-D46)/D46</f>
        <v/>
      </c>
      <c r="L46" s="7">
        <f>(I46/D46)^(1/5)-1</f>
        <v/>
      </c>
      <c r="M46" s="7">
        <f>(G46-D46)/D46</f>
        <v/>
      </c>
      <c r="N46" s="7">
        <f>(I46-G46)/G46</f>
        <v/>
      </c>
      <c r="O46" s="9" t="inlineStr">
        <is>
          <t>Moderado (2-5%)</t>
        </is>
      </c>
    </row>
    <row r="47">
      <c r="A47" s="4" t="inlineStr">
        <is>
          <t>28083</t>
        </is>
      </c>
      <c r="B47" s="4" t="inlineStr">
        <is>
          <t>Meco</t>
        </is>
      </c>
      <c r="C47" s="4" t="inlineStr">
        <is>
          <t>Henares (E)</t>
        </is>
      </c>
      <c r="D47" s="5" t="n">
        <v>14670</v>
      </c>
      <c r="E47" s="5" t="n">
        <v>14903</v>
      </c>
      <c r="F47" s="5" t="n">
        <v>15143</v>
      </c>
      <c r="G47" s="5" t="n">
        <v>15404</v>
      </c>
      <c r="H47" s="5" t="n">
        <v>15732</v>
      </c>
      <c r="I47" s="5" t="n">
        <v>15922</v>
      </c>
      <c r="J47" s="6">
        <f>I47-D47</f>
        <v/>
      </c>
      <c r="K47" s="7">
        <f>(I47-D47)/D47</f>
        <v/>
      </c>
      <c r="L47" s="7">
        <f>(I47/D47)^(1/5)-1</f>
        <v/>
      </c>
      <c r="M47" s="7">
        <f>(G47-D47)/D47</f>
        <v/>
      </c>
      <c r="N47" s="7">
        <f>(I47-G47)/G47</f>
        <v/>
      </c>
      <c r="O47" s="8" t="inlineStr">
        <is>
          <t>Alto (5-12%)</t>
        </is>
      </c>
    </row>
    <row r="48">
      <c r="A48" s="4" t="inlineStr">
        <is>
          <t>28010</t>
        </is>
      </c>
      <c r="B48" s="4" t="inlineStr">
        <is>
          <t>Alpedrete</t>
        </is>
      </c>
      <c r="C48" s="4" t="inlineStr">
        <is>
          <t>Noroeste (A-6)</t>
        </is>
      </c>
      <c r="D48" s="5" t="n">
        <v>14839</v>
      </c>
      <c r="E48" s="5" t="n">
        <v>14959</v>
      </c>
      <c r="F48" s="5" t="n">
        <v>15006</v>
      </c>
      <c r="G48" s="5" t="n">
        <v>15312</v>
      </c>
      <c r="H48" s="5" t="n">
        <v>15543</v>
      </c>
      <c r="I48" s="5" t="n">
        <v>15686</v>
      </c>
      <c r="J48" s="6">
        <f>I48-D48</f>
        <v/>
      </c>
      <c r="K48" s="7">
        <f>(I48-D48)/D48</f>
        <v/>
      </c>
      <c r="L48" s="7">
        <f>(I48/D48)^(1/5)-1</f>
        <v/>
      </c>
      <c r="M48" s="7">
        <f>(G48-D48)/D48</f>
        <v/>
      </c>
      <c r="N48" s="7">
        <f>(I48-G48)/G48</f>
        <v/>
      </c>
      <c r="O48" s="8" t="inlineStr">
        <is>
          <t>Alto (5-12%)</t>
        </is>
      </c>
    </row>
    <row r="49">
      <c r="A49" s="4" t="inlineStr">
        <is>
          <t>28090</t>
        </is>
      </c>
      <c r="B49" s="4" t="inlineStr">
        <is>
          <t>Moralzarzal</t>
        </is>
      </c>
      <c r="C49" s="4" t="inlineStr">
        <is>
          <t>Noroeste (A-6)</t>
        </is>
      </c>
      <c r="D49" s="5" t="n">
        <v>13334</v>
      </c>
      <c r="E49" s="5" t="n">
        <v>13573</v>
      </c>
      <c r="F49" s="5" t="n">
        <v>13905</v>
      </c>
      <c r="G49" s="5" t="n">
        <v>14124</v>
      </c>
      <c r="H49" s="5" t="n">
        <v>14586</v>
      </c>
      <c r="I49" s="5" t="n">
        <v>14772</v>
      </c>
      <c r="J49" s="6">
        <f>I49-D49</f>
        <v/>
      </c>
      <c r="K49" s="7">
        <f>(I49-D49)/D49</f>
        <v/>
      </c>
      <c r="L49" s="7">
        <f>(I49/D49)^(1/5)-1</f>
        <v/>
      </c>
      <c r="M49" s="7">
        <f>(G49-D49)/D49</f>
        <v/>
      </c>
      <c r="N49" s="7">
        <f>(I49-G49)/G49</f>
        <v/>
      </c>
      <c r="O49" s="8" t="inlineStr">
        <is>
          <t>Alto (5-12%)</t>
        </is>
      </c>
    </row>
    <row r="50">
      <c r="A50" s="4" t="inlineStr">
        <is>
          <t>28167</t>
        </is>
      </c>
      <c r="B50" s="4" t="inlineStr">
        <is>
          <t>Velilla de San Antonio</t>
        </is>
      </c>
      <c r="C50" s="4" t="inlineStr">
        <is>
          <t>Henares (E)</t>
        </is>
      </c>
      <c r="D50" s="5" t="n">
        <v>12380</v>
      </c>
      <c r="E50" s="5" t="n">
        <v>12543</v>
      </c>
      <c r="F50" s="5" t="n">
        <v>12770</v>
      </c>
      <c r="G50" s="5" t="n">
        <v>13376</v>
      </c>
      <c r="H50" s="5" t="n">
        <v>14003</v>
      </c>
      <c r="I50" s="5" t="n">
        <v>14468</v>
      </c>
      <c r="J50" s="6">
        <f>I50-D50</f>
        <v/>
      </c>
      <c r="K50" s="7">
        <f>(I50-D50)/D50</f>
        <v/>
      </c>
      <c r="L50" s="7">
        <f>(I50/D50)^(1/5)-1</f>
        <v/>
      </c>
      <c r="M50" s="7">
        <f>(G50-D50)/D50</f>
        <v/>
      </c>
      <c r="N50" s="7">
        <f>(I50-G50)/G50</f>
        <v/>
      </c>
      <c r="O50" s="12" t="inlineStr">
        <is>
          <t>Fuerte (+12%)</t>
        </is>
      </c>
    </row>
    <row r="51">
      <c r="A51" s="4" t="inlineStr">
        <is>
          <t>28160</t>
        </is>
      </c>
      <c r="B51" s="4" t="inlineStr">
        <is>
          <t>Valdemorillo</t>
        </is>
      </c>
      <c r="C51" s="4" t="inlineStr">
        <is>
          <t>Noroeste (A-6)</t>
        </is>
      </c>
      <c r="D51" s="5" t="n">
        <v>12772</v>
      </c>
      <c r="E51" s="5" t="n">
        <v>13245</v>
      </c>
      <c r="F51" s="5" t="n">
        <v>13453</v>
      </c>
      <c r="G51" s="5" t="n">
        <v>13651</v>
      </c>
      <c r="H51" s="5" t="n">
        <v>14164</v>
      </c>
      <c r="I51" s="5" t="n">
        <v>14420</v>
      </c>
      <c r="J51" s="6">
        <f>I51-D51</f>
        <v/>
      </c>
      <c r="K51" s="7">
        <f>(I51-D51)/D51</f>
        <v/>
      </c>
      <c r="L51" s="7">
        <f>(I51/D51)^(1/5)-1</f>
        <v/>
      </c>
      <c r="M51" s="7">
        <f>(G51-D51)/D51</f>
        <v/>
      </c>
      <c r="N51" s="7">
        <f>(I51-G51)/G51</f>
        <v/>
      </c>
      <c r="O51" s="12" t="inlineStr">
        <is>
          <t>Fuerte (+12%)</t>
        </is>
      </c>
    </row>
    <row r="52">
      <c r="A52" s="4" t="inlineStr">
        <is>
          <t>28129</t>
        </is>
      </c>
      <c r="B52" s="4" t="inlineStr">
        <is>
          <t>San Agustín del Guadalix</t>
        </is>
      </c>
      <c r="C52" s="4" t="inlineStr">
        <is>
          <t>Norte (A-1)</t>
        </is>
      </c>
      <c r="D52" s="5" t="n">
        <v>13466</v>
      </c>
      <c r="E52" s="5" t="n">
        <v>13538</v>
      </c>
      <c r="F52" s="5" t="n">
        <v>13608</v>
      </c>
      <c r="G52" s="5" t="n">
        <v>13650</v>
      </c>
      <c r="H52" s="5" t="n">
        <v>13762</v>
      </c>
      <c r="I52" s="5" t="n">
        <v>13825</v>
      </c>
      <c r="J52" s="6">
        <f>I52-D52</f>
        <v/>
      </c>
      <c r="K52" s="7">
        <f>(I52-D52)/D52</f>
        <v/>
      </c>
      <c r="L52" s="7">
        <f>(I52/D52)^(1/5)-1</f>
        <v/>
      </c>
      <c r="M52" s="7">
        <f>(G52-D52)/D52</f>
        <v/>
      </c>
      <c r="N52" s="7">
        <f>(I52-G52)/G52</f>
        <v/>
      </c>
      <c r="O52" s="9" t="inlineStr">
        <is>
          <t>Moderado (2-5%)</t>
        </is>
      </c>
    </row>
    <row r="53">
      <c r="A53" s="4" t="inlineStr">
        <is>
          <t>28026</t>
        </is>
      </c>
      <c r="B53" s="4" t="inlineStr">
        <is>
          <t>Brunete</t>
        </is>
      </c>
      <c r="C53" s="4" t="inlineStr">
        <is>
          <t>Sudoeste (A-5)</t>
        </is>
      </c>
      <c r="D53" s="5" t="n">
        <v>10760</v>
      </c>
      <c r="E53" s="5" t="n">
        <v>10726</v>
      </c>
      <c r="F53" s="5" t="n">
        <v>10845</v>
      </c>
      <c r="G53" s="5" t="n">
        <v>11014</v>
      </c>
      <c r="H53" s="5" t="n">
        <v>11300</v>
      </c>
      <c r="I53" s="5" t="n">
        <v>11287</v>
      </c>
      <c r="J53" s="6">
        <f>I53-D53</f>
        <v/>
      </c>
      <c r="K53" s="7">
        <f>(I53-D53)/D53</f>
        <v/>
      </c>
      <c r="L53" s="7">
        <f>(I53/D53)^(1/5)-1</f>
        <v/>
      </c>
      <c r="M53" s="7">
        <f>(G53-D53)/D53</f>
        <v/>
      </c>
      <c r="N53" s="7">
        <f>(I53-G53)/G53</f>
        <v/>
      </c>
      <c r="O53" s="9" t="inlineStr">
        <is>
          <t>Moderado (2-5%)</t>
        </is>
      </c>
    </row>
    <row r="54">
      <c r="A54" s="4" t="inlineStr">
        <is>
          <t>28066</t>
        </is>
      </c>
      <c r="B54" s="4" t="inlineStr">
        <is>
          <t>Griñón</t>
        </is>
      </c>
      <c r="C54" s="4" t="inlineStr">
        <is>
          <t>Sur (A-4/A-42)</t>
        </is>
      </c>
      <c r="D54" s="5" t="n">
        <v>10435</v>
      </c>
      <c r="E54" s="5" t="n">
        <v>10467</v>
      </c>
      <c r="F54" s="5" t="n">
        <v>10491</v>
      </c>
      <c r="G54" s="5" t="n">
        <v>10087</v>
      </c>
      <c r="H54" s="5" t="n">
        <v>10718</v>
      </c>
      <c r="I54" s="5" t="n">
        <v>10799</v>
      </c>
      <c r="J54" s="6">
        <f>I54-D54</f>
        <v/>
      </c>
      <c r="K54" s="7">
        <f>(I54-D54)/D54</f>
        <v/>
      </c>
      <c r="L54" s="7">
        <f>(I54/D54)^(1/5)-1</f>
        <v/>
      </c>
      <c r="M54" s="7">
        <f>(G54-D54)/D54</f>
        <v/>
      </c>
      <c r="N54" s="7">
        <f>(I54-G54)/G54</f>
        <v/>
      </c>
      <c r="O54" s="9" t="inlineStr">
        <is>
          <t>Moderado (2-5%)</t>
        </is>
      </c>
    </row>
    <row r="55">
      <c r="A55" s="4" t="inlineStr">
        <is>
          <t>28053</t>
        </is>
      </c>
      <c r="B55" s="4" t="inlineStr">
        <is>
          <t>Daganzo de Arriba</t>
        </is>
      </c>
      <c r="C55" s="4" t="inlineStr">
        <is>
          <t>Henares (E)</t>
        </is>
      </c>
      <c r="D55" s="5" t="n">
        <v>10337</v>
      </c>
      <c r="E55" s="5" t="n">
        <v>10520</v>
      </c>
      <c r="F55" s="5" t="n">
        <v>10650</v>
      </c>
      <c r="G55" s="5" t="n">
        <v>10611</v>
      </c>
      <c r="H55" s="5" t="n">
        <v>10703</v>
      </c>
      <c r="I55" s="5" t="n">
        <v>10764</v>
      </c>
      <c r="J55" s="6">
        <f>I55-D55</f>
        <v/>
      </c>
      <c r="K55" s="7">
        <f>(I55-D55)/D55</f>
        <v/>
      </c>
      <c r="L55" s="7">
        <f>(I55/D55)^(1/5)-1</f>
        <v/>
      </c>
      <c r="M55" s="7">
        <f>(G55-D55)/D55</f>
        <v/>
      </c>
      <c r="N55" s="7">
        <f>(I55-G55)/G55</f>
        <v/>
      </c>
      <c r="O55" s="9" t="inlineStr">
        <is>
          <t>Moderado (2-5%)</t>
        </is>
      </c>
    </row>
    <row r="56">
      <c r="A56" s="4" t="inlineStr">
        <is>
          <t>28149</t>
        </is>
      </c>
      <c r="B56" s="4" t="inlineStr">
        <is>
          <t>Torrejón de la Calzada</t>
        </is>
      </c>
      <c r="C56" s="4" t="inlineStr">
        <is>
          <t>Sur (A-4/A-42)</t>
        </is>
      </c>
      <c r="D56" s="5" t="n">
        <v>9194</v>
      </c>
      <c r="E56" s="5" t="n">
        <v>9549</v>
      </c>
      <c r="F56" s="5" t="n">
        <v>9947</v>
      </c>
      <c r="G56" s="5" t="n">
        <v>10222</v>
      </c>
      <c r="H56" s="5" t="n">
        <v>10378</v>
      </c>
      <c r="I56" s="5" t="n">
        <v>10653</v>
      </c>
      <c r="J56" s="6">
        <f>I56-D56</f>
        <v/>
      </c>
      <c r="K56" s="7">
        <f>(I56-D56)/D56</f>
        <v/>
      </c>
      <c r="L56" s="7">
        <f>(I56/D56)^(1/5)-1</f>
        <v/>
      </c>
      <c r="M56" s="7">
        <f>(G56-D56)/D56</f>
        <v/>
      </c>
      <c r="N56" s="7">
        <f>(I56-G56)/G56</f>
        <v/>
      </c>
      <c r="O56" s="12" t="inlineStr">
        <is>
          <t>Fuerte (+12%)</t>
        </is>
      </c>
    </row>
    <row r="57">
      <c r="A57" s="4" t="inlineStr">
        <is>
          <t>28004</t>
        </is>
      </c>
      <c r="B57" s="4" t="inlineStr">
        <is>
          <t>Álamo, El</t>
        </is>
      </c>
      <c r="C57" s="4" t="inlineStr">
        <is>
          <t>Sudoeste (A-5)</t>
        </is>
      </c>
      <c r="D57" s="5" t="n">
        <v>9862</v>
      </c>
      <c r="E57" s="5" t="n">
        <v>9908</v>
      </c>
      <c r="F57" s="5" t="n">
        <v>10123</v>
      </c>
      <c r="G57" s="5" t="n">
        <v>10322</v>
      </c>
      <c r="H57" s="5" t="n">
        <v>10430</v>
      </c>
      <c r="I57" s="5" t="n">
        <v>10594</v>
      </c>
      <c r="J57" s="6">
        <f>I57-D57</f>
        <v/>
      </c>
      <c r="K57" s="7">
        <f>(I57-D57)/D57</f>
        <v/>
      </c>
      <c r="L57" s="7">
        <f>(I57/D57)^(1/5)-1</f>
        <v/>
      </c>
      <c r="M57" s="7">
        <f>(G57-D57)/D57</f>
        <v/>
      </c>
      <c r="N57" s="7">
        <f>(I57-G57)/G57</f>
        <v/>
      </c>
      <c r="O57" s="8" t="inlineStr">
        <is>
          <t>Alto (5-12%)</t>
        </is>
      </c>
    </row>
    <row r="58">
      <c r="A58" s="4" t="inlineStr">
        <is>
          <t>28086</t>
        </is>
      </c>
      <c r="B58" s="4" t="inlineStr">
        <is>
          <t>Molar, El</t>
        </is>
      </c>
      <c r="C58" s="4" t="inlineStr">
        <is>
          <t>Norte (A-1)</t>
        </is>
      </c>
      <c r="D58" s="5" t="n">
        <v>9287</v>
      </c>
      <c r="E58" s="5" t="n">
        <v>9291</v>
      </c>
      <c r="F58" s="5" t="n">
        <v>9437</v>
      </c>
      <c r="G58" s="5" t="n">
        <v>9759</v>
      </c>
      <c r="H58" s="5" t="n">
        <v>10052</v>
      </c>
      <c r="I58" s="5" t="n">
        <v>9999</v>
      </c>
      <c r="J58" s="6">
        <f>I58-D58</f>
        <v/>
      </c>
      <c r="K58" s="7">
        <f>(I58-D58)/D58</f>
        <v/>
      </c>
      <c r="L58" s="7">
        <f>(I58/D58)^(1/5)-1</f>
        <v/>
      </c>
      <c r="M58" s="7">
        <f>(G58-D58)/D58</f>
        <v/>
      </c>
      <c r="N58" s="7">
        <f>(I58-G58)/G58</f>
        <v/>
      </c>
      <c r="O58" s="8" t="inlineStr">
        <is>
          <t>Alto (5-12%)</t>
        </is>
      </c>
    </row>
    <row r="59">
      <c r="A59" s="4" t="inlineStr">
        <is>
          <t>28141</t>
        </is>
      </c>
      <c r="B59" s="4" t="inlineStr">
        <is>
          <t>Sevilla la Nueva</t>
        </is>
      </c>
      <c r="C59" s="4" t="inlineStr">
        <is>
          <t>Sudoeste (A-5)</t>
        </is>
      </c>
      <c r="D59" s="5" t="n">
        <v>9393</v>
      </c>
      <c r="E59" s="5" t="n">
        <v>9345</v>
      </c>
      <c r="F59" s="5" t="n">
        <v>9361</v>
      </c>
      <c r="G59" s="5" t="n">
        <v>9551</v>
      </c>
      <c r="H59" s="5" t="n">
        <v>9657</v>
      </c>
      <c r="I59" s="5" t="n">
        <v>9802</v>
      </c>
      <c r="J59" s="6">
        <f>I59-D59</f>
        <v/>
      </c>
      <c r="K59" s="7">
        <f>(I59-D59)/D59</f>
        <v/>
      </c>
      <c r="L59" s="7">
        <f>(I59/D59)^(1/5)-1</f>
        <v/>
      </c>
      <c r="M59" s="7">
        <f>(G59-D59)/D59</f>
        <v/>
      </c>
      <c r="N59" s="7">
        <f>(I59-G59)/G59</f>
        <v/>
      </c>
      <c r="O59" s="9" t="inlineStr">
        <is>
          <t>Moderado (2-5%)</t>
        </is>
      </c>
    </row>
    <row r="60">
      <c r="A60" s="4" t="inlineStr">
        <is>
          <t>28082</t>
        </is>
      </c>
      <c r="B60" s="4" t="inlineStr">
        <is>
          <t>Manzanares el Real</t>
        </is>
      </c>
      <c r="C60" s="4" t="inlineStr">
        <is>
          <t>Norte (A-1)</t>
        </is>
      </c>
      <c r="D60" s="5" t="n">
        <v>8936</v>
      </c>
      <c r="E60" s="5" t="n">
        <v>9202</v>
      </c>
      <c r="F60" s="5" t="n">
        <v>9247</v>
      </c>
      <c r="G60" s="5" t="n">
        <v>9386</v>
      </c>
      <c r="H60" s="5" t="n">
        <v>9550</v>
      </c>
      <c r="I60" s="5" t="n">
        <v>9648</v>
      </c>
      <c r="J60" s="6">
        <f>I60-D60</f>
        <v/>
      </c>
      <c r="K60" s="7">
        <f>(I60-D60)/D60</f>
        <v/>
      </c>
      <c r="L60" s="7">
        <f>(I60/D60)^(1/5)-1</f>
        <v/>
      </c>
      <c r="M60" s="7">
        <f>(G60-D60)/D60</f>
        <v/>
      </c>
      <c r="N60" s="7">
        <f>(I60-G60)/G60</f>
        <v/>
      </c>
      <c r="O60" s="8" t="inlineStr">
        <is>
          <t>Alto (5-12%)</t>
        </is>
      </c>
    </row>
    <row r="61">
      <c r="A61" s="4" t="inlineStr">
        <is>
          <t>28044</t>
        </is>
      </c>
      <c r="B61" s="4" t="inlineStr">
        <is>
          <t>Colmenarejo</t>
        </is>
      </c>
      <c r="C61" s="4" t="inlineStr">
        <is>
          <t>Noroeste (A-6)</t>
        </is>
      </c>
      <c r="D61" s="5" t="n">
        <v>9230</v>
      </c>
      <c r="E61" s="5" t="n">
        <v>9376</v>
      </c>
      <c r="F61" s="5" t="n">
        <v>9473</v>
      </c>
      <c r="G61" s="5" t="n">
        <v>9534</v>
      </c>
      <c r="H61" s="5" t="n">
        <v>9623</v>
      </c>
      <c r="I61" s="5" t="n">
        <v>9640</v>
      </c>
      <c r="J61" s="6">
        <f>I61-D61</f>
        <v/>
      </c>
      <c r="K61" s="7">
        <f>(I61-D61)/D61</f>
        <v/>
      </c>
      <c r="L61" s="7">
        <f>(I61/D61)^(1/5)-1</f>
        <v/>
      </c>
      <c r="M61" s="7">
        <f>(G61-D61)/D61</f>
        <v/>
      </c>
      <c r="N61" s="7">
        <f>(I61-G61)/G61</f>
        <v/>
      </c>
      <c r="O61" s="9" t="inlineStr">
        <is>
          <t>Moderado (2-5%)</t>
        </is>
      </c>
    </row>
    <row r="62">
      <c r="A62" s="4" t="inlineStr">
        <is>
          <t>28144</t>
        </is>
      </c>
      <c r="B62" s="4" t="inlineStr">
        <is>
          <t>Soto del Real</t>
        </is>
      </c>
      <c r="C62" s="4" t="inlineStr">
        <is>
          <t>Norte (A-1)</t>
        </is>
      </c>
      <c r="D62" s="5" t="n">
        <v>8981</v>
      </c>
      <c r="E62" s="5" t="n">
        <v>9091</v>
      </c>
      <c r="F62" s="5" t="n">
        <v>9188</v>
      </c>
      <c r="G62" s="5" t="n">
        <v>9399</v>
      </c>
      <c r="H62" s="5" t="n">
        <v>9441</v>
      </c>
      <c r="I62" s="5" t="n">
        <v>9400</v>
      </c>
      <c r="J62" s="6">
        <f>I62-D62</f>
        <v/>
      </c>
      <c r="K62" s="7">
        <f>(I62-D62)/D62</f>
        <v/>
      </c>
      <c r="L62" s="7">
        <f>(I62/D62)^(1/5)-1</f>
        <v/>
      </c>
      <c r="M62" s="7">
        <f>(G62-D62)/D62</f>
        <v/>
      </c>
      <c r="N62" s="7">
        <f>(I62-G62)/G62</f>
        <v/>
      </c>
      <c r="O62" s="9" t="inlineStr">
        <is>
          <t>Moderado (2-5%)</t>
        </is>
      </c>
    </row>
    <row r="63">
      <c r="A63" s="4" t="inlineStr">
        <is>
          <t>28133</t>
        </is>
      </c>
      <c r="B63" s="4" t="inlineStr">
        <is>
          <t>San Martín de Valdeiglesias</t>
        </is>
      </c>
      <c r="C63" s="4" t="inlineStr">
        <is>
          <t>Sur-Sierra Oeste</t>
        </is>
      </c>
      <c r="D63" s="5" t="n">
        <v>8679</v>
      </c>
      <c r="E63" s="5" t="n">
        <v>8760</v>
      </c>
      <c r="F63" s="5" t="n">
        <v>8812</v>
      </c>
      <c r="G63" s="5" t="n">
        <v>9003</v>
      </c>
      <c r="H63" s="5" t="n">
        <v>9159</v>
      </c>
      <c r="I63" s="5" t="n">
        <v>9324</v>
      </c>
      <c r="J63" s="6">
        <f>I63-D63</f>
        <v/>
      </c>
      <c r="K63" s="7">
        <f>(I63-D63)/D63</f>
        <v/>
      </c>
      <c r="L63" s="7">
        <f>(I63/D63)^(1/5)-1</f>
        <v/>
      </c>
      <c r="M63" s="7">
        <f>(G63-D63)/D63</f>
        <v/>
      </c>
      <c r="N63" s="7">
        <f>(I63-G63)/G63</f>
        <v/>
      </c>
      <c r="O63" s="8" t="inlineStr">
        <is>
          <t>Alto (5-12%)</t>
        </is>
      </c>
    </row>
    <row r="64">
      <c r="A64" s="4" t="inlineStr">
        <is>
          <t>28072</t>
        </is>
      </c>
      <c r="B64" s="4" t="inlineStr">
        <is>
          <t>Hoyo de Manzanares</t>
        </is>
      </c>
      <c r="C64" s="4" t="inlineStr">
        <is>
          <t>Noroeste (A-6)</t>
        </is>
      </c>
      <c r="D64" s="5" t="n">
        <v>8529</v>
      </c>
      <c r="E64" s="5" t="n">
        <v>8680</v>
      </c>
      <c r="F64" s="5" t="n">
        <v>8811</v>
      </c>
      <c r="G64" s="5" t="n">
        <v>8973</v>
      </c>
      <c r="H64" s="5" t="n">
        <v>9178</v>
      </c>
      <c r="I64" s="5" t="n">
        <v>9310</v>
      </c>
      <c r="J64" s="6">
        <f>I64-D64</f>
        <v/>
      </c>
      <c r="K64" s="7">
        <f>(I64-D64)/D64</f>
        <v/>
      </c>
      <c r="L64" s="7">
        <f>(I64/D64)^(1/5)-1</f>
        <v/>
      </c>
      <c r="M64" s="7">
        <f>(G64-D64)/D64</f>
        <v/>
      </c>
      <c r="N64" s="7">
        <f>(I64-G64)/G64</f>
        <v/>
      </c>
      <c r="O64" s="8" t="inlineStr">
        <is>
          <t>Alto (5-12%)</t>
        </is>
      </c>
    </row>
    <row r="65">
      <c r="A65" s="4" t="inlineStr">
        <is>
          <t>28075</t>
        </is>
      </c>
      <c r="B65" s="4" t="inlineStr">
        <is>
          <t>Loeches</t>
        </is>
      </c>
      <c r="C65" s="4" t="inlineStr">
        <is>
          <t>Henares (E)</t>
        </is>
      </c>
      <c r="D65" s="5" t="n">
        <v>8897</v>
      </c>
      <c r="E65" s="5" t="n">
        <v>8860</v>
      </c>
      <c r="F65" s="5" t="n">
        <v>8944</v>
      </c>
      <c r="G65" s="5" t="n">
        <v>9108</v>
      </c>
      <c r="H65" s="5" t="n">
        <v>9200</v>
      </c>
      <c r="I65" s="5" t="n">
        <v>9261</v>
      </c>
      <c r="J65" s="6">
        <f>I65-D65</f>
        <v/>
      </c>
      <c r="K65" s="7">
        <f>(I65-D65)/D65</f>
        <v/>
      </c>
      <c r="L65" s="7">
        <f>(I65/D65)^(1/5)-1</f>
        <v/>
      </c>
      <c r="M65" s="7">
        <f>(G65-D65)/D65</f>
        <v/>
      </c>
      <c r="N65" s="7">
        <f>(I65-G65)/G65</f>
        <v/>
      </c>
      <c r="O65" s="9" t="inlineStr">
        <is>
          <t>Moderado (2-5%)</t>
        </is>
      </c>
    </row>
    <row r="66">
      <c r="A66" s="4" t="inlineStr">
        <is>
          <t>28043</t>
        </is>
      </c>
      <c r="B66" s="4" t="inlineStr">
        <is>
          <t>Colmenar de Oreja</t>
        </is>
      </c>
      <c r="C66" s="4" t="inlineStr">
        <is>
          <t>Sureste (A-3)</t>
        </is>
      </c>
      <c r="D66" s="5" t="n">
        <v>8154</v>
      </c>
      <c r="E66" s="5" t="n">
        <v>8303</v>
      </c>
      <c r="F66" s="5" t="n">
        <v>8462</v>
      </c>
      <c r="G66" s="5" t="n">
        <v>8649</v>
      </c>
      <c r="H66" s="5" t="n">
        <v>8888</v>
      </c>
      <c r="I66" s="5" t="n">
        <v>9127</v>
      </c>
      <c r="J66" s="6">
        <f>I66-D66</f>
        <v/>
      </c>
      <c r="K66" s="7">
        <f>(I66-D66)/D66</f>
        <v/>
      </c>
      <c r="L66" s="7">
        <f>(I66/D66)^(1/5)-1</f>
        <v/>
      </c>
      <c r="M66" s="7">
        <f>(G66-D66)/D66</f>
        <v/>
      </c>
      <c r="N66" s="7">
        <f>(I66-G66)/G66</f>
        <v/>
      </c>
      <c r="O66" s="8" t="inlineStr">
        <is>
          <t>Alto (5-12%)</t>
        </is>
      </c>
    </row>
    <row r="67">
      <c r="A67" s="4" t="inlineStr">
        <is>
          <t>28023</t>
        </is>
      </c>
      <c r="B67" s="4" t="inlineStr">
        <is>
          <t>Boalo, El</t>
        </is>
      </c>
      <c r="C67" s="4" t="inlineStr">
        <is>
          <t>Noroeste (A-6)</t>
        </is>
      </c>
      <c r="D67" s="5" t="n">
        <v>7663</v>
      </c>
      <c r="E67" s="5" t="n">
        <v>8009</v>
      </c>
      <c r="F67" s="5" t="n">
        <v>8216</v>
      </c>
      <c r="G67" s="5" t="n">
        <v>8424</v>
      </c>
      <c r="H67" s="5" t="n">
        <v>8547</v>
      </c>
      <c r="I67" s="5" t="n">
        <v>8770</v>
      </c>
      <c r="J67" s="6">
        <f>I67-D67</f>
        <v/>
      </c>
      <c r="K67" s="7">
        <f>(I67-D67)/D67</f>
        <v/>
      </c>
      <c r="L67" s="7">
        <f>(I67/D67)^(1/5)-1</f>
        <v/>
      </c>
      <c r="M67" s="7">
        <f>(G67-D67)/D67</f>
        <v/>
      </c>
      <c r="N67" s="7">
        <f>(I67-G67)/G67</f>
        <v/>
      </c>
      <c r="O67" s="12" t="inlineStr">
        <is>
          <t>Fuerte (+12%)</t>
        </is>
      </c>
    </row>
    <row r="68">
      <c r="A68" s="4" t="inlineStr">
        <is>
          <t>28091</t>
        </is>
      </c>
      <c r="B68" s="4" t="inlineStr">
        <is>
          <t>Morata de Tajuña</t>
        </is>
      </c>
      <c r="C68" s="4" t="inlineStr">
        <is>
          <t>Sureste (A-3)</t>
        </is>
      </c>
      <c r="D68" s="5" t="n">
        <v>7847</v>
      </c>
      <c r="E68" s="5" t="n">
        <v>7924</v>
      </c>
      <c r="F68" s="5" t="n">
        <v>7960</v>
      </c>
      <c r="G68" s="5" t="n">
        <v>8115</v>
      </c>
      <c r="H68" s="5" t="n">
        <v>8319</v>
      </c>
      <c r="I68" s="5" t="n">
        <v>8397</v>
      </c>
      <c r="J68" s="6">
        <f>I68-D68</f>
        <v/>
      </c>
      <c r="K68" s="7">
        <f>(I68-D68)/D68</f>
        <v/>
      </c>
      <c r="L68" s="7">
        <f>(I68/D68)^(1/5)-1</f>
        <v/>
      </c>
      <c r="M68" s="7">
        <f>(G68-D68)/D68</f>
        <v/>
      </c>
      <c r="N68" s="7">
        <f>(I68-G68)/G68</f>
        <v/>
      </c>
      <c r="O68" s="8" t="inlineStr">
        <is>
          <t>Alto (5-12%)</t>
        </is>
      </c>
    </row>
    <row r="69">
      <c r="A69" s="4" t="inlineStr">
        <is>
          <t>28032</t>
        </is>
      </c>
      <c r="B69" s="4" t="inlineStr">
        <is>
          <t>Camarma de Esteruelas</t>
        </is>
      </c>
      <c r="C69" s="4" t="inlineStr">
        <is>
          <t>Henares (E)</t>
        </is>
      </c>
      <c r="D69" s="5" t="n">
        <v>7437</v>
      </c>
      <c r="E69" s="5" t="n">
        <v>7555</v>
      </c>
      <c r="F69" s="5" t="n">
        <v>7595</v>
      </c>
      <c r="G69" s="5" t="n">
        <v>7792</v>
      </c>
      <c r="H69" s="5" t="n">
        <v>8106</v>
      </c>
      <c r="I69" s="5" t="n">
        <v>8331</v>
      </c>
      <c r="J69" s="6">
        <f>I69-D69</f>
        <v/>
      </c>
      <c r="K69" s="7">
        <f>(I69-D69)/D69</f>
        <v/>
      </c>
      <c r="L69" s="7">
        <f>(I69/D69)^(1/5)-1</f>
        <v/>
      </c>
      <c r="M69" s="7">
        <f>(G69-D69)/D69</f>
        <v/>
      </c>
      <c r="N69" s="7">
        <f>(I69-G69)/G69</f>
        <v/>
      </c>
      <c r="O69" s="12" t="inlineStr">
        <is>
          <t>Fuerte (+12%)</t>
        </is>
      </c>
    </row>
    <row r="70">
      <c r="A70" s="4" t="inlineStr">
        <is>
          <t>28180</t>
        </is>
      </c>
      <c r="B70" s="4" t="inlineStr">
        <is>
          <t>Villarejo de Salvanés</t>
        </is>
      </c>
      <c r="C70" s="4" t="inlineStr">
        <is>
          <t>Sureste (A-3)</t>
        </is>
      </c>
      <c r="D70" s="5" t="n">
        <v>7433</v>
      </c>
      <c r="E70" s="5" t="n">
        <v>7552</v>
      </c>
      <c r="F70" s="5" t="n">
        <v>7629</v>
      </c>
      <c r="G70" s="5" t="n">
        <v>7746</v>
      </c>
      <c r="H70" s="5" t="n">
        <v>7900</v>
      </c>
      <c r="I70" s="5" t="n">
        <v>8042</v>
      </c>
      <c r="J70" s="6">
        <f>I70-D70</f>
        <v/>
      </c>
      <c r="K70" s="7">
        <f>(I70-D70)/D70</f>
        <v/>
      </c>
      <c r="L70" s="7">
        <f>(I70/D70)^(1/5)-1</f>
        <v/>
      </c>
      <c r="M70" s="7">
        <f>(G70-D70)/D70</f>
        <v/>
      </c>
      <c r="N70" s="7">
        <f>(I70-G70)/G70</f>
        <v/>
      </c>
      <c r="O70" s="8" t="inlineStr">
        <is>
          <t>Alto (5-12%)</t>
        </is>
      </c>
    </row>
    <row r="71">
      <c r="A71" s="4" t="inlineStr">
        <is>
          <t>28154</t>
        </is>
      </c>
      <c r="B71" s="4" t="inlineStr">
        <is>
          <t>Torres de la Alameda</t>
        </is>
      </c>
      <c r="C71" s="4" t="inlineStr">
        <is>
          <t>Henares (E)</t>
        </is>
      </c>
      <c r="D71" s="5" t="n">
        <v>7833</v>
      </c>
      <c r="E71" s="5" t="n">
        <v>7729</v>
      </c>
      <c r="F71" s="5" t="n">
        <v>7714</v>
      </c>
      <c r="G71" s="5" t="n">
        <v>7737</v>
      </c>
      <c r="H71" s="5" t="n">
        <v>7758</v>
      </c>
      <c r="I71" s="5" t="n">
        <v>7824</v>
      </c>
      <c r="J71" s="6">
        <f>I71-D71</f>
        <v/>
      </c>
      <c r="K71" s="7">
        <f>(I71-D71)/D71</f>
        <v/>
      </c>
      <c r="L71" s="7">
        <f>(I71/D71)^(1/5)-1</f>
        <v/>
      </c>
      <c r="M71" s="7">
        <f>(G71-D71)/D71</f>
        <v/>
      </c>
      <c r="N71" s="7">
        <f>(I71-G71)/G71</f>
        <v/>
      </c>
      <c r="O71" s="11" t="inlineStr">
        <is>
          <t>Estable (±)</t>
        </is>
      </c>
    </row>
    <row r="72">
      <c r="A72" s="4" t="inlineStr">
        <is>
          <t>28038</t>
        </is>
      </c>
      <c r="B72" s="4" t="inlineStr">
        <is>
          <t>Cercedilla</t>
        </is>
      </c>
      <c r="C72" s="4" t="inlineStr">
        <is>
          <t>Noroeste (A-6)</t>
        </is>
      </c>
      <c r="D72" s="5" t="n">
        <v>7205</v>
      </c>
      <c r="E72" s="5" t="n">
        <v>7359</v>
      </c>
      <c r="F72" s="5" t="n">
        <v>7533</v>
      </c>
      <c r="G72" s="5" t="n">
        <v>7648</v>
      </c>
      <c r="H72" s="5" t="n">
        <v>7647</v>
      </c>
      <c r="I72" s="5" t="n">
        <v>7772</v>
      </c>
      <c r="J72" s="6">
        <f>I72-D72</f>
        <v/>
      </c>
      <c r="K72" s="7">
        <f>(I72-D72)/D72</f>
        <v/>
      </c>
      <c r="L72" s="7">
        <f>(I72/D72)^(1/5)-1</f>
        <v/>
      </c>
      <c r="M72" s="7">
        <f>(G72-D72)/D72</f>
        <v/>
      </c>
      <c r="N72" s="7">
        <f>(I72-G72)/G72</f>
        <v/>
      </c>
      <c r="O72" s="8" t="inlineStr">
        <is>
          <t>Alto (5-12%)</t>
        </is>
      </c>
    </row>
    <row r="73">
      <c r="A73" s="4" t="inlineStr">
        <is>
          <t>28171</t>
        </is>
      </c>
      <c r="B73" s="4" t="inlineStr">
        <is>
          <t>Villa del Prado</t>
        </is>
      </c>
      <c r="C73" s="4" t="inlineStr">
        <is>
          <t>Sudoeste (A-5)</t>
        </is>
      </c>
      <c r="D73" s="5" t="n">
        <v>6661</v>
      </c>
      <c r="E73" s="5" t="n">
        <v>6837</v>
      </c>
      <c r="F73" s="5" t="n">
        <v>7092</v>
      </c>
      <c r="G73" s="5" t="n">
        <v>7273</v>
      </c>
      <c r="H73" s="5" t="n">
        <v>7437</v>
      </c>
      <c r="I73" s="5" t="n">
        <v>7743</v>
      </c>
      <c r="J73" s="6">
        <f>I73-D73</f>
        <v/>
      </c>
      <c r="K73" s="7">
        <f>(I73-D73)/D73</f>
        <v/>
      </c>
      <c r="L73" s="7">
        <f>(I73/D73)^(1/5)-1</f>
        <v/>
      </c>
      <c r="M73" s="7">
        <f>(G73-D73)/D73</f>
        <v/>
      </c>
      <c r="N73" s="7">
        <f>(I73-G73)/G73</f>
        <v/>
      </c>
      <c r="O73" s="12" t="inlineStr">
        <is>
          <t>Fuerte (+12%)</t>
        </is>
      </c>
    </row>
    <row r="74">
      <c r="A74" s="4" t="inlineStr">
        <is>
          <t>28046</t>
        </is>
      </c>
      <c r="B74" s="4" t="inlineStr">
        <is>
          <t>Collado Mediano</t>
        </is>
      </c>
      <c r="C74" s="4" t="inlineStr">
        <is>
          <t>Noroeste (A-6)</t>
        </is>
      </c>
      <c r="D74" s="5" t="n">
        <v>7105</v>
      </c>
      <c r="E74" s="5" t="n">
        <v>7348</v>
      </c>
      <c r="F74" s="5" t="n">
        <v>7456</v>
      </c>
      <c r="G74" s="5" t="n">
        <v>7490</v>
      </c>
      <c r="H74" s="5" t="n">
        <v>7547</v>
      </c>
      <c r="I74" s="5" t="n">
        <v>7722</v>
      </c>
      <c r="J74" s="6">
        <f>I74-D74</f>
        <v/>
      </c>
      <c r="K74" s="7">
        <f>(I74-D74)/D74</f>
        <v/>
      </c>
      <c r="L74" s="7">
        <f>(I74/D74)^(1/5)-1</f>
        <v/>
      </c>
      <c r="M74" s="7">
        <f>(G74-D74)/D74</f>
        <v/>
      </c>
      <c r="N74" s="7">
        <f>(I74-G74)/G74</f>
        <v/>
      </c>
      <c r="O74" s="8" t="inlineStr">
        <is>
          <t>Alto (5-12%)</t>
        </is>
      </c>
    </row>
    <row r="75">
      <c r="A75" s="4" t="inlineStr">
        <is>
          <t>28041</t>
        </is>
      </c>
      <c r="B75" s="4" t="inlineStr">
        <is>
          <t>Cobeña</t>
        </is>
      </c>
      <c r="C75" s="4" t="inlineStr">
        <is>
          <t>Norte (A-1)</t>
        </is>
      </c>
      <c r="D75" s="5" t="n">
        <v>7486</v>
      </c>
      <c r="E75" s="5" t="n">
        <v>7444</v>
      </c>
      <c r="F75" s="5" t="n">
        <v>7551</v>
      </c>
      <c r="G75" s="5" t="n">
        <v>7698</v>
      </c>
      <c r="H75" s="5" t="n">
        <v>7759</v>
      </c>
      <c r="I75" s="5" t="n">
        <v>7670</v>
      </c>
      <c r="J75" s="6">
        <f>I75-D75</f>
        <v/>
      </c>
      <c r="K75" s="7">
        <f>(I75-D75)/D75</f>
        <v/>
      </c>
      <c r="L75" s="7">
        <f>(I75/D75)^(1/5)-1</f>
        <v/>
      </c>
      <c r="M75" s="7">
        <f>(G75-D75)/D75</f>
        <v/>
      </c>
      <c r="N75" s="7">
        <f>(I75-G75)/G75</f>
        <v/>
      </c>
      <c r="O75" s="9" t="inlineStr">
        <is>
          <t>Moderado (2-5%)</t>
        </is>
      </c>
    </row>
    <row r="76">
      <c r="A76" s="4" t="inlineStr">
        <is>
          <t>28100</t>
        </is>
      </c>
      <c r="B76" s="4" t="inlineStr">
        <is>
          <t>Nuevo Baztán</t>
        </is>
      </c>
      <c r="C76" s="4" t="inlineStr">
        <is>
          <t>Sureste (A-3)</t>
        </is>
      </c>
      <c r="D76" s="5" t="n">
        <v>6454</v>
      </c>
      <c r="E76" s="5" t="n">
        <v>6630</v>
      </c>
      <c r="F76" s="5" t="n">
        <v>6760</v>
      </c>
      <c r="G76" s="5" t="n">
        <v>7050</v>
      </c>
      <c r="H76" s="5" t="n">
        <v>7339</v>
      </c>
      <c r="I76" s="5" t="n">
        <v>7429</v>
      </c>
      <c r="J76" s="6">
        <f>I76-D76</f>
        <v/>
      </c>
      <c r="K76" s="7">
        <f>(I76-D76)/D76</f>
        <v/>
      </c>
      <c r="L76" s="7">
        <f>(I76/D76)^(1/5)-1</f>
        <v/>
      </c>
      <c r="M76" s="7">
        <f>(G76-D76)/D76</f>
        <v/>
      </c>
      <c r="N76" s="7">
        <f>(I76-G76)/G76</f>
        <v/>
      </c>
      <c r="O76" s="12" t="inlineStr">
        <is>
          <t>Fuerte (+12%)</t>
        </is>
      </c>
    </row>
    <row r="77">
      <c r="A77" s="4" t="inlineStr">
        <is>
          <t>28059</t>
        </is>
      </c>
      <c r="B77" s="4" t="inlineStr">
        <is>
          <t>Fuente el Saz de Jarama</t>
        </is>
      </c>
      <c r="C77" s="4" t="inlineStr">
        <is>
          <t>Norte (A-1)</t>
        </is>
      </c>
      <c r="D77" s="5" t="n">
        <v>6807</v>
      </c>
      <c r="E77" s="5" t="n">
        <v>6883</v>
      </c>
      <c r="F77" s="5" t="n">
        <v>7034</v>
      </c>
      <c r="G77" s="5" t="n">
        <v>7182</v>
      </c>
      <c r="H77" s="5" t="n">
        <v>7379</v>
      </c>
      <c r="I77" s="5" t="n">
        <v>7413</v>
      </c>
      <c r="J77" s="6">
        <f>I77-D77</f>
        <v/>
      </c>
      <c r="K77" s="7">
        <f>(I77-D77)/D77</f>
        <v/>
      </c>
      <c r="L77" s="7">
        <f>(I77/D77)^(1/5)-1</f>
        <v/>
      </c>
      <c r="M77" s="7">
        <f>(G77-D77)/D77</f>
        <v/>
      </c>
      <c r="N77" s="7">
        <f>(I77-G77)/G77</f>
        <v/>
      </c>
      <c r="O77" s="8" t="inlineStr">
        <is>
          <t>Alto (5-12%)</t>
        </is>
      </c>
    </row>
    <row r="78">
      <c r="A78" s="4" t="inlineStr">
        <is>
          <t>28085</t>
        </is>
      </c>
      <c r="B78" s="4" t="inlineStr">
        <is>
          <t>Miraflores de la Sierra</t>
        </is>
      </c>
      <c r="C78" s="4" t="inlineStr">
        <is>
          <t>Norte (A-1)</t>
        </is>
      </c>
      <c r="D78" s="5" t="n">
        <v>6362</v>
      </c>
      <c r="E78" s="5" t="n">
        <v>6585</v>
      </c>
      <c r="F78" s="5" t="n">
        <v>6711</v>
      </c>
      <c r="G78" s="5" t="n">
        <v>6945</v>
      </c>
      <c r="H78" s="5" t="n">
        <v>7139</v>
      </c>
      <c r="I78" s="5" t="n">
        <v>7350</v>
      </c>
      <c r="J78" s="6">
        <f>I78-D78</f>
        <v/>
      </c>
      <c r="K78" s="7">
        <f>(I78-D78)/D78</f>
        <v/>
      </c>
      <c r="L78" s="7">
        <f>(I78/D78)^(1/5)-1</f>
        <v/>
      </c>
      <c r="M78" s="7">
        <f>(G78-D78)/D78</f>
        <v/>
      </c>
      <c r="N78" s="7">
        <f>(I78-G78)/G78</f>
        <v/>
      </c>
      <c r="O78" s="12" t="inlineStr">
        <is>
          <t>Fuerte (+12%)</t>
        </is>
      </c>
    </row>
    <row r="79">
      <c r="A79" s="4" t="inlineStr">
        <is>
          <t>28050</t>
        </is>
      </c>
      <c r="B79" s="4" t="inlineStr">
        <is>
          <t>Cubas de la Sagra</t>
        </is>
      </c>
      <c r="C79" s="4" t="inlineStr">
        <is>
          <t>Sur (A-4/A-42)</t>
        </is>
      </c>
      <c r="D79" s="5" t="n">
        <v>6539</v>
      </c>
      <c r="E79" s="5" t="n">
        <v>6642</v>
      </c>
      <c r="F79" s="5" t="n">
        <v>6698</v>
      </c>
      <c r="G79" s="5" t="n">
        <v>6817</v>
      </c>
      <c r="H79" s="5" t="n">
        <v>6988</v>
      </c>
      <c r="I79" s="5" t="n">
        <v>7238</v>
      </c>
      <c r="J79" s="6">
        <f>I79-D79</f>
        <v/>
      </c>
      <c r="K79" s="7">
        <f>(I79-D79)/D79</f>
        <v/>
      </c>
      <c r="L79" s="7">
        <f>(I79/D79)^(1/5)-1</f>
        <v/>
      </c>
      <c r="M79" s="7">
        <f>(G79-D79)/D79</f>
        <v/>
      </c>
      <c r="N79" s="7">
        <f>(I79-G79)/G79</f>
        <v/>
      </c>
      <c r="O79" s="8" t="inlineStr">
        <is>
          <t>Alto (5-12%)</t>
        </is>
      </c>
    </row>
    <row r="80">
      <c r="A80" s="4" t="inlineStr">
        <is>
          <t>28067</t>
        </is>
      </c>
      <c r="B80" s="4" t="inlineStr">
        <is>
          <t>Guadalix de la Sierra</t>
        </is>
      </c>
      <c r="C80" s="4" t="inlineStr">
        <is>
          <t>Norte (A-1)</t>
        </is>
      </c>
      <c r="D80" s="5" t="n">
        <v>6440</v>
      </c>
      <c r="E80" s="5" t="n">
        <v>6594</v>
      </c>
      <c r="F80" s="5" t="n">
        <v>6672</v>
      </c>
      <c r="G80" s="5" t="n">
        <v>6814</v>
      </c>
      <c r="H80" s="5" t="n">
        <v>6904</v>
      </c>
      <c r="I80" s="5" t="n">
        <v>6993</v>
      </c>
      <c r="J80" s="6">
        <f>I80-D80</f>
        <v/>
      </c>
      <c r="K80" s="7">
        <f>(I80-D80)/D80</f>
        <v/>
      </c>
      <c r="L80" s="7">
        <f>(I80/D80)^(1/5)-1</f>
        <v/>
      </c>
      <c r="M80" s="7">
        <f>(G80-D80)/D80</f>
        <v/>
      </c>
      <c r="N80" s="7">
        <f>(I80-G80)/G80</f>
        <v/>
      </c>
      <c r="O80" s="8" t="inlineStr">
        <is>
          <t>Alto (5-12%)</t>
        </is>
      </c>
    </row>
    <row r="81">
      <c r="A81" s="4" t="inlineStr">
        <is>
          <t>28033</t>
        </is>
      </c>
      <c r="B81" s="4" t="inlineStr">
        <is>
          <t>Campo Real</t>
        </is>
      </c>
      <c r="C81" s="4" t="inlineStr">
        <is>
          <t>Sureste (A-3)</t>
        </is>
      </c>
      <c r="D81" s="5" t="n">
        <v>6420</v>
      </c>
      <c r="E81" s="5" t="n">
        <v>6416</v>
      </c>
      <c r="F81" s="5" t="n">
        <v>6651</v>
      </c>
      <c r="G81" s="5" t="n">
        <v>6781</v>
      </c>
      <c r="H81" s="5" t="n">
        <v>6802</v>
      </c>
      <c r="I81" s="5" t="n">
        <v>6974</v>
      </c>
      <c r="J81" s="6">
        <f>I81-D81</f>
        <v/>
      </c>
      <c r="K81" s="7">
        <f>(I81-D81)/D81</f>
        <v/>
      </c>
      <c r="L81" s="7">
        <f>(I81/D81)^(1/5)-1</f>
        <v/>
      </c>
      <c r="M81" s="7">
        <f>(G81-D81)/D81</f>
        <v/>
      </c>
      <c r="N81" s="7">
        <f>(I81-G81)/G81</f>
        <v/>
      </c>
      <c r="O81" s="8" t="inlineStr">
        <is>
          <t>Alto (5-12%)</t>
        </is>
      </c>
    </row>
    <row r="82">
      <c r="A82" s="4" t="inlineStr">
        <is>
          <t>28018</t>
        </is>
      </c>
      <c r="B82" s="4" t="inlineStr">
        <is>
          <t>Becerril de la Sierra</t>
        </is>
      </c>
      <c r="C82" s="4" t="inlineStr">
        <is>
          <t>Noroeste (A-6)</t>
        </is>
      </c>
      <c r="D82" s="5" t="n">
        <v>5875</v>
      </c>
      <c r="E82" s="5" t="n">
        <v>6108</v>
      </c>
      <c r="F82" s="5" t="n">
        <v>6197</v>
      </c>
      <c r="G82" s="5" t="n">
        <v>6277</v>
      </c>
      <c r="H82" s="5" t="n">
        <v>6573</v>
      </c>
      <c r="I82" s="5" t="n">
        <v>6737</v>
      </c>
      <c r="J82" s="6">
        <f>I82-D82</f>
        <v/>
      </c>
      <c r="K82" s="7">
        <f>(I82-D82)/D82</f>
        <v/>
      </c>
      <c r="L82" s="7">
        <f>(I82/D82)^(1/5)-1</f>
        <v/>
      </c>
      <c r="M82" s="7">
        <f>(G82-D82)/D82</f>
        <v/>
      </c>
      <c r="N82" s="7">
        <f>(I82-G82)/G82</f>
        <v/>
      </c>
      <c r="O82" s="12" t="inlineStr">
        <is>
          <t>Fuerte (+12%)</t>
        </is>
      </c>
    </row>
    <row r="83">
      <c r="A83" s="4" t="inlineStr">
        <is>
          <t>28108</t>
        </is>
      </c>
      <c r="B83" s="4" t="inlineStr">
        <is>
          <t>Pedrezuela</t>
        </is>
      </c>
      <c r="C83" s="4" t="inlineStr">
        <is>
          <t>Norte (A-1)</t>
        </is>
      </c>
      <c r="D83" s="5" t="n">
        <v>6150</v>
      </c>
      <c r="E83" s="5" t="n">
        <v>6226</v>
      </c>
      <c r="F83" s="5" t="n">
        <v>6307</v>
      </c>
      <c r="G83" s="5" t="n">
        <v>6400</v>
      </c>
      <c r="H83" s="5" t="n">
        <v>6467</v>
      </c>
      <c r="I83" s="5" t="n">
        <v>6606</v>
      </c>
      <c r="J83" s="6">
        <f>I83-D83</f>
        <v/>
      </c>
      <c r="K83" s="7">
        <f>(I83-D83)/D83</f>
        <v/>
      </c>
      <c r="L83" s="7">
        <f>(I83/D83)^(1/5)-1</f>
        <v/>
      </c>
      <c r="M83" s="7">
        <f>(G83-D83)/D83</f>
        <v/>
      </c>
      <c r="N83" s="7">
        <f>(I83-G83)/G83</f>
        <v/>
      </c>
      <c r="O83" s="8" t="inlineStr">
        <is>
          <t>Alto (5-12%)</t>
        </is>
      </c>
    </row>
    <row r="84">
      <c r="A84" s="4" t="inlineStr">
        <is>
          <t>28052</t>
        </is>
      </c>
      <c r="B84" s="4" t="inlineStr">
        <is>
          <t>Chinchón</t>
        </is>
      </c>
      <c r="C84" s="4" t="inlineStr">
        <is>
          <t>Sureste (A-3)</t>
        </is>
      </c>
      <c r="D84" s="5" t="n">
        <v>5413</v>
      </c>
      <c r="E84" s="5" t="n">
        <v>5506</v>
      </c>
      <c r="F84" s="5" t="n">
        <v>5658</v>
      </c>
      <c r="G84" s="5" t="n">
        <v>5664</v>
      </c>
      <c r="H84" s="5" t="n">
        <v>5818</v>
      </c>
      <c r="I84" s="5" t="n">
        <v>5800</v>
      </c>
      <c r="J84" s="6">
        <f>I84-D84</f>
        <v/>
      </c>
      <c r="K84" s="7">
        <f>(I84-D84)/D84</f>
        <v/>
      </c>
      <c r="L84" s="7">
        <f>(I84/D84)^(1/5)-1</f>
        <v/>
      </c>
      <c r="M84" s="7">
        <f>(G84-D84)/D84</f>
        <v/>
      </c>
      <c r="N84" s="7">
        <f>(I84-G84)/G84</f>
        <v/>
      </c>
      <c r="O84" s="8" t="inlineStr">
        <is>
          <t>Alto (5-12%)</t>
        </is>
      </c>
    </row>
    <row r="85">
      <c r="A85" s="4" t="inlineStr">
        <is>
          <t>28089</t>
        </is>
      </c>
      <c r="B85" s="4" t="inlineStr">
        <is>
          <t>Moraleja de Enmedio</t>
        </is>
      </c>
      <c r="C85" s="4" t="inlineStr">
        <is>
          <t>Sur (A-4/A-42)</t>
        </is>
      </c>
      <c r="D85" s="5" t="n">
        <v>5200</v>
      </c>
      <c r="E85" s="5" t="n">
        <v>5294</v>
      </c>
      <c r="F85" s="5" t="n">
        <v>5368</v>
      </c>
      <c r="G85" s="5" t="n">
        <v>5453</v>
      </c>
      <c r="H85" s="5" t="n">
        <v>5576</v>
      </c>
      <c r="I85" s="5" t="n">
        <v>5580</v>
      </c>
      <c r="J85" s="6">
        <f>I85-D85</f>
        <v/>
      </c>
      <c r="K85" s="7">
        <f>(I85-D85)/D85</f>
        <v/>
      </c>
      <c r="L85" s="7">
        <f>(I85/D85)^(1/5)-1</f>
        <v/>
      </c>
      <c r="M85" s="7">
        <f>(G85-D85)/D85</f>
        <v/>
      </c>
      <c r="N85" s="7">
        <f>(I85-G85)/G85</f>
        <v/>
      </c>
      <c r="O85" s="8" t="inlineStr">
        <is>
          <t>Alto (5-12%)</t>
        </is>
      </c>
    </row>
    <row r="86">
      <c r="A86" s="4" t="inlineStr">
        <is>
          <t>28164</t>
        </is>
      </c>
      <c r="B86" s="4" t="inlineStr">
        <is>
          <t>Valdetorres de Jarama</t>
        </is>
      </c>
      <c r="C86" s="4" t="inlineStr">
        <is>
          <t>Norte (A-1)</t>
        </is>
      </c>
      <c r="D86" s="5" t="n">
        <v>4581</v>
      </c>
      <c r="E86" s="5" t="n">
        <v>4696</v>
      </c>
      <c r="F86" s="5" t="n">
        <v>4830</v>
      </c>
      <c r="G86" s="5" t="n">
        <v>4990</v>
      </c>
      <c r="H86" s="5" t="n">
        <v>5026</v>
      </c>
      <c r="I86" s="5" t="n">
        <v>5175</v>
      </c>
      <c r="J86" s="6">
        <f>I86-D86</f>
        <v/>
      </c>
      <c r="K86" s="7">
        <f>(I86-D86)/D86</f>
        <v/>
      </c>
      <c r="L86" s="7">
        <f>(I86/D86)^(1/5)-1</f>
        <v/>
      </c>
      <c r="M86" s="7">
        <f>(G86-D86)/D86</f>
        <v/>
      </c>
      <c r="N86" s="7">
        <f>(I86-G86)/G86</f>
        <v/>
      </c>
      <c r="O86" s="12" t="inlineStr">
        <is>
          <t>Fuerte (+12%)</t>
        </is>
      </c>
    </row>
    <row r="87">
      <c r="A87" s="4" t="inlineStr">
        <is>
          <t>28151</t>
        </is>
      </c>
      <c r="B87" s="4" t="inlineStr">
        <is>
          <t>Torrelaguna</t>
        </is>
      </c>
      <c r="C87" s="4" t="inlineStr">
        <is>
          <t>Sierra Norte / Rural</t>
        </is>
      </c>
      <c r="D87" s="5" t="n">
        <v>4854</v>
      </c>
      <c r="E87" s="5" t="n">
        <v>4897</v>
      </c>
      <c r="F87" s="5" t="n">
        <v>4940</v>
      </c>
      <c r="G87" s="5" t="n">
        <v>4949</v>
      </c>
      <c r="H87" s="5" t="n">
        <v>4991</v>
      </c>
      <c r="I87" s="5" t="n">
        <v>5081</v>
      </c>
      <c r="J87" s="6">
        <f>I87-D87</f>
        <v/>
      </c>
      <c r="K87" s="7">
        <f>(I87-D87)/D87</f>
        <v/>
      </c>
      <c r="L87" s="7">
        <f>(I87/D87)^(1/5)-1</f>
        <v/>
      </c>
      <c r="M87" s="7">
        <f>(G87-D87)/D87</f>
        <v/>
      </c>
      <c r="N87" s="7">
        <f>(I87-G87)/G87</f>
        <v/>
      </c>
      <c r="O87" s="9" t="inlineStr">
        <is>
          <t>Moderado (2-5%)</t>
        </is>
      </c>
    </row>
    <row r="88">
      <c r="A88" s="4" t="inlineStr">
        <is>
          <t>28150</t>
        </is>
      </c>
      <c r="B88" s="4" t="inlineStr">
        <is>
          <t>Torrejón de Velasco</t>
        </is>
      </c>
      <c r="C88" s="4" t="inlineStr">
        <is>
          <t>Sur (A-4/A-42)</t>
        </is>
      </c>
      <c r="D88" s="5" t="n">
        <v>4386</v>
      </c>
      <c r="E88" s="5" t="n">
        <v>4594</v>
      </c>
      <c r="F88" s="5" t="n">
        <v>4685</v>
      </c>
      <c r="G88" s="5" t="n">
        <v>4756</v>
      </c>
      <c r="H88" s="5" t="n">
        <v>4893</v>
      </c>
      <c r="I88" s="5" t="n">
        <v>4900</v>
      </c>
      <c r="J88" s="6">
        <f>I88-D88</f>
        <v/>
      </c>
      <c r="K88" s="7">
        <f>(I88-D88)/D88</f>
        <v/>
      </c>
      <c r="L88" s="7">
        <f>(I88/D88)^(1/5)-1</f>
        <v/>
      </c>
      <c r="M88" s="7">
        <f>(G88-D88)/D88</f>
        <v/>
      </c>
      <c r="N88" s="7">
        <f>(I88-G88)/G88</f>
        <v/>
      </c>
      <c r="O88" s="8" t="inlineStr">
        <is>
          <t>Alto (5-12%)</t>
        </is>
      </c>
    </row>
    <row r="89">
      <c r="A89" s="4" t="inlineStr">
        <is>
          <t>28002</t>
        </is>
      </c>
      <c r="B89" s="4" t="inlineStr">
        <is>
          <t>Ajalvir</t>
        </is>
      </c>
      <c r="C89" s="4" t="inlineStr">
        <is>
          <t>Henares (E)</t>
        </is>
      </c>
      <c r="D89" s="5" t="n">
        <v>4721</v>
      </c>
      <c r="E89" s="5" t="n">
        <v>4676</v>
      </c>
      <c r="F89" s="5" t="n">
        <v>4751</v>
      </c>
      <c r="G89" s="5" t="n">
        <v>4779</v>
      </c>
      <c r="H89" s="5" t="n">
        <v>4863</v>
      </c>
      <c r="I89" s="5" t="n">
        <v>4868</v>
      </c>
      <c r="J89" s="6">
        <f>I89-D89</f>
        <v/>
      </c>
      <c r="K89" s="7">
        <f>(I89-D89)/D89</f>
        <v/>
      </c>
      <c r="L89" s="7">
        <f>(I89/D89)^(1/5)-1</f>
        <v/>
      </c>
      <c r="M89" s="7">
        <f>(G89-D89)/D89</f>
        <v/>
      </c>
      <c r="N89" s="7">
        <f>(I89-G89)/G89</f>
        <v/>
      </c>
      <c r="O89" s="9" t="inlineStr">
        <is>
          <t>Moderado (2-5%)</t>
        </is>
      </c>
    </row>
    <row r="90">
      <c r="A90" s="4" t="inlineStr">
        <is>
          <t>28125</t>
        </is>
      </c>
      <c r="B90" s="4" t="inlineStr">
        <is>
          <t>Robledo de Chavela</t>
        </is>
      </c>
      <c r="C90" s="4" t="inlineStr">
        <is>
          <t>Noroeste (A-6)</t>
        </is>
      </c>
      <c r="D90" s="5" t="n">
        <v>4364</v>
      </c>
      <c r="E90" s="5" t="n">
        <v>4479</v>
      </c>
      <c r="F90" s="5" t="n">
        <v>4587</v>
      </c>
      <c r="G90" s="5" t="n">
        <v>4705</v>
      </c>
      <c r="H90" s="5" t="n">
        <v>4725</v>
      </c>
      <c r="I90" s="5" t="n">
        <v>4818</v>
      </c>
      <c r="J90" s="6">
        <f>I90-D90</f>
        <v/>
      </c>
      <c r="K90" s="7">
        <f>(I90-D90)/D90</f>
        <v/>
      </c>
      <c r="L90" s="7">
        <f>(I90/D90)^(1/5)-1</f>
        <v/>
      </c>
      <c r="M90" s="7">
        <f>(G90-D90)/D90</f>
        <v/>
      </c>
      <c r="N90" s="7">
        <f>(I90-G90)/G90</f>
        <v/>
      </c>
      <c r="O90" s="8" t="inlineStr">
        <is>
          <t>Alto (5-12%)</t>
        </is>
      </c>
    </row>
    <row r="91">
      <c r="A91" s="4" t="inlineStr">
        <is>
          <t>28087</t>
        </is>
      </c>
      <c r="B91" s="4" t="inlineStr">
        <is>
          <t>Molinos, Los</t>
        </is>
      </c>
      <c r="C91" s="4" t="inlineStr">
        <is>
          <t>Noroeste (A-6)</t>
        </is>
      </c>
      <c r="D91" s="5" t="n">
        <v>4433</v>
      </c>
      <c r="E91" s="5" t="n">
        <v>4563</v>
      </c>
      <c r="F91" s="5" t="n">
        <v>4699</v>
      </c>
      <c r="G91" s="5" t="n">
        <v>4786</v>
      </c>
      <c r="H91" s="5" t="n">
        <v>4731</v>
      </c>
      <c r="I91" s="5" t="n">
        <v>4781</v>
      </c>
      <c r="J91" s="6">
        <f>I91-D91</f>
        <v/>
      </c>
      <c r="K91" s="7">
        <f>(I91-D91)/D91</f>
        <v/>
      </c>
      <c r="L91" s="7">
        <f>(I91/D91)^(1/5)-1</f>
        <v/>
      </c>
      <c r="M91" s="7">
        <f>(G91-D91)/D91</f>
        <v/>
      </c>
      <c r="N91" s="7">
        <f>(I91-G91)/G91</f>
        <v/>
      </c>
      <c r="O91" s="8" t="inlineStr">
        <is>
          <t>Alto (5-12%)</t>
        </is>
      </c>
    </row>
    <row r="92">
      <c r="A92" s="4" t="inlineStr">
        <is>
          <t>28140</t>
        </is>
      </c>
      <c r="B92" s="4" t="inlineStr">
        <is>
          <t>Serranillos del Valle</t>
        </is>
      </c>
      <c r="C92" s="4" t="inlineStr">
        <is>
          <t>Sur (A-4/A-42)</t>
        </is>
      </c>
      <c r="D92" s="5" t="n">
        <v>4291</v>
      </c>
      <c r="E92" s="5" t="n">
        <v>4429</v>
      </c>
      <c r="F92" s="5" t="n">
        <v>4509</v>
      </c>
      <c r="G92" s="5" t="n">
        <v>4625</v>
      </c>
      <c r="H92" s="5" t="n">
        <v>4634</v>
      </c>
      <c r="I92" s="5" t="n">
        <v>4670</v>
      </c>
      <c r="J92" s="6">
        <f>I92-D92</f>
        <v/>
      </c>
      <c r="K92" s="7">
        <f>(I92-D92)/D92</f>
        <v/>
      </c>
      <c r="L92" s="7">
        <f>(I92/D92)^(1/5)-1</f>
        <v/>
      </c>
      <c r="M92" s="7">
        <f>(G92-D92)/D92</f>
        <v/>
      </c>
      <c r="N92" s="7">
        <f>(I92-G92)/G92</f>
        <v/>
      </c>
      <c r="O92" s="8" t="inlineStr">
        <is>
          <t>Alto (5-12%)</t>
        </is>
      </c>
    </row>
    <row r="93">
      <c r="A93" s="4" t="inlineStr">
        <is>
          <t>28162</t>
        </is>
      </c>
      <c r="B93" s="4" t="inlineStr">
        <is>
          <t>Valdeolmos-Alalpardo</t>
        </is>
      </c>
      <c r="C93" s="4" t="inlineStr">
        <is>
          <t>Henares (E)</t>
        </is>
      </c>
      <c r="D93" s="5" t="n">
        <v>4232</v>
      </c>
      <c r="E93" s="5" t="n">
        <v>4309</v>
      </c>
      <c r="F93" s="5" t="n">
        <v>4396</v>
      </c>
      <c r="G93" s="5" t="n">
        <v>4523</v>
      </c>
      <c r="H93" s="5" t="n">
        <v>4568</v>
      </c>
      <c r="I93" s="5" t="n">
        <v>4626</v>
      </c>
      <c r="J93" s="6">
        <f>I93-D93</f>
        <v/>
      </c>
      <c r="K93" s="7">
        <f>(I93-D93)/D93</f>
        <v/>
      </c>
      <c r="L93" s="7">
        <f>(I93/D93)^(1/5)-1</f>
        <v/>
      </c>
      <c r="M93" s="7">
        <f>(G93-D93)/D93</f>
        <v/>
      </c>
      <c r="N93" s="7">
        <f>(I93-G93)/G93</f>
        <v/>
      </c>
      <c r="O93" s="8" t="inlineStr">
        <is>
          <t>Alto (5-12%)</t>
        </is>
      </c>
    </row>
    <row r="94">
      <c r="A94" s="4" t="inlineStr">
        <is>
          <t>28145</t>
        </is>
      </c>
      <c r="B94" s="4" t="inlineStr">
        <is>
          <t>Talamanca de Jarama</t>
        </is>
      </c>
      <c r="C94" s="4" t="inlineStr">
        <is>
          <t>Norte (A-1)</t>
        </is>
      </c>
      <c r="D94" s="5" t="n">
        <v>4012</v>
      </c>
      <c r="E94" s="5" t="n">
        <v>4123</v>
      </c>
      <c r="F94" s="5" t="n">
        <v>4210</v>
      </c>
      <c r="G94" s="5" t="n">
        <v>4355</v>
      </c>
      <c r="H94" s="5" t="n">
        <v>4533</v>
      </c>
      <c r="I94" s="5" t="n">
        <v>4607</v>
      </c>
      <c r="J94" s="6">
        <f>I94-D94</f>
        <v/>
      </c>
      <c r="K94" s="7">
        <f>(I94-D94)/D94</f>
        <v/>
      </c>
      <c r="L94" s="7">
        <f>(I94/D94)^(1/5)-1</f>
        <v/>
      </c>
      <c r="M94" s="7">
        <f>(G94-D94)/D94</f>
        <v/>
      </c>
      <c r="N94" s="7">
        <f>(I94-G94)/G94</f>
        <v/>
      </c>
      <c r="O94" s="12" t="inlineStr">
        <is>
          <t>Fuerte (+12%)</t>
        </is>
      </c>
    </row>
    <row r="95">
      <c r="A95" s="4" t="inlineStr">
        <is>
          <t>28036</t>
        </is>
      </c>
      <c r="B95" s="4" t="inlineStr">
        <is>
          <t>Casarrubuelos</t>
        </is>
      </c>
      <c r="C95" s="4" t="inlineStr">
        <is>
          <t>Sur (A-4/A-42)</t>
        </is>
      </c>
      <c r="D95" s="5" t="n">
        <v>3845</v>
      </c>
      <c r="E95" s="5" t="n">
        <v>3939</v>
      </c>
      <c r="F95" s="5" t="n">
        <v>3961</v>
      </c>
      <c r="G95" s="5" t="n">
        <v>4062</v>
      </c>
      <c r="H95" s="5" t="n">
        <v>4211</v>
      </c>
      <c r="I95" s="5" t="n">
        <v>4323</v>
      </c>
      <c r="J95" s="6">
        <f>I95-D95</f>
        <v/>
      </c>
      <c r="K95" s="7">
        <f>(I95-D95)/D95</f>
        <v/>
      </c>
      <c r="L95" s="7">
        <f>(I95/D95)^(1/5)-1</f>
        <v/>
      </c>
      <c r="M95" s="7">
        <f>(G95-D95)/D95</f>
        <v/>
      </c>
      <c r="N95" s="7">
        <f>(I95-G95)/G95</f>
        <v/>
      </c>
      <c r="O95" s="12" t="inlineStr">
        <is>
          <t>Fuerte (+12%)</t>
        </is>
      </c>
    </row>
    <row r="96">
      <c r="A96" s="4" t="inlineStr">
        <is>
          <t>28119</t>
        </is>
      </c>
      <c r="B96" s="4" t="inlineStr">
        <is>
          <t>Quijorna</t>
        </is>
      </c>
      <c r="C96" s="4" t="inlineStr">
        <is>
          <t>Sudoeste (A-5)</t>
        </is>
      </c>
      <c r="D96" s="5" t="n">
        <v>3541</v>
      </c>
      <c r="E96" s="5" t="n">
        <v>3593</v>
      </c>
      <c r="F96" s="5" t="n">
        <v>3683</v>
      </c>
      <c r="G96" s="5" t="n">
        <v>3863</v>
      </c>
      <c r="H96" s="5" t="n">
        <v>4001</v>
      </c>
      <c r="I96" s="5" t="n">
        <v>4044</v>
      </c>
      <c r="J96" s="6">
        <f>I96-D96</f>
        <v/>
      </c>
      <c r="K96" s="7">
        <f>(I96-D96)/D96</f>
        <v/>
      </c>
      <c r="L96" s="7">
        <f>(I96/D96)^(1/5)-1</f>
        <v/>
      </c>
      <c r="M96" s="7">
        <f>(G96-D96)/D96</f>
        <v/>
      </c>
      <c r="N96" s="7">
        <f>(I96-G96)/G96</f>
        <v/>
      </c>
      <c r="O96" s="12" t="inlineStr">
        <is>
          <t>Fuerte (+12%)</t>
        </is>
      </c>
    </row>
    <row r="97">
      <c r="A97" s="4" t="inlineStr">
        <is>
          <t>28170</t>
        </is>
      </c>
      <c r="B97" s="4" t="inlineStr">
        <is>
          <t>Villaconejos</t>
        </is>
      </c>
      <c r="C97" s="4" t="inlineStr">
        <is>
          <t>Sureste (A-3)</t>
        </is>
      </c>
      <c r="D97" s="5" t="n">
        <v>3422</v>
      </c>
      <c r="E97" s="5" t="n">
        <v>3464</v>
      </c>
      <c r="F97" s="5" t="n">
        <v>3456</v>
      </c>
      <c r="G97" s="5" t="n">
        <v>3499</v>
      </c>
      <c r="H97" s="5" t="n">
        <v>3508</v>
      </c>
      <c r="I97" s="5" t="n">
        <v>3569</v>
      </c>
      <c r="J97" s="6">
        <f>I97-D97</f>
        <v/>
      </c>
      <c r="K97" s="7">
        <f>(I97-D97)/D97</f>
        <v/>
      </c>
      <c r="L97" s="7">
        <f>(I97/D97)^(1/5)-1</f>
        <v/>
      </c>
      <c r="M97" s="7">
        <f>(G97-D97)/D97</f>
        <v/>
      </c>
      <c r="N97" s="7">
        <f>(I97-G97)/G97</f>
        <v/>
      </c>
      <c r="O97" s="9" t="inlineStr">
        <is>
          <t>Moderado (2-5%)</t>
        </is>
      </c>
    </row>
    <row r="98">
      <c r="A98" s="4" t="inlineStr">
        <is>
          <t>28008</t>
        </is>
      </c>
      <c r="B98" s="4" t="inlineStr">
        <is>
          <t>Aldea del Fresno</t>
        </is>
      </c>
      <c r="C98" s="4" t="inlineStr">
        <is>
          <t>Sudoeste (A-5)</t>
        </is>
      </c>
      <c r="D98" s="5" t="n">
        <v>2973</v>
      </c>
      <c r="E98" s="5" t="n">
        <v>3085</v>
      </c>
      <c r="F98" s="5" t="n">
        <v>3227</v>
      </c>
      <c r="G98" s="5" t="n">
        <v>3408</v>
      </c>
      <c r="H98" s="5" t="n">
        <v>3422</v>
      </c>
      <c r="I98" s="5" t="n">
        <v>3503</v>
      </c>
      <c r="J98" s="6">
        <f>I98-D98</f>
        <v/>
      </c>
      <c r="K98" s="7">
        <f>(I98-D98)/D98</f>
        <v/>
      </c>
      <c r="L98" s="7">
        <f>(I98/D98)^(1/5)-1</f>
        <v/>
      </c>
      <c r="M98" s="7">
        <f>(G98-D98)/D98</f>
        <v/>
      </c>
      <c r="N98" s="7">
        <f>(I98-G98)/G98</f>
        <v/>
      </c>
      <c r="O98" s="12" t="inlineStr">
        <is>
          <t>Fuerte (+12%)</t>
        </is>
      </c>
    </row>
    <row r="99">
      <c r="A99" s="4" t="inlineStr">
        <is>
          <t>28099</t>
        </is>
      </c>
      <c r="B99" s="4" t="inlineStr">
        <is>
          <t>Navas del Rey</t>
        </is>
      </c>
      <c r="C99" s="4" t="inlineStr">
        <is>
          <t>Sudoeste (A-5)</t>
        </is>
      </c>
      <c r="D99" s="5" t="n">
        <v>2966</v>
      </c>
      <c r="E99" s="5" t="n">
        <v>3062</v>
      </c>
      <c r="F99" s="5" t="n">
        <v>3134</v>
      </c>
      <c r="G99" s="5" t="n">
        <v>3244</v>
      </c>
      <c r="H99" s="5" t="n">
        <v>3347</v>
      </c>
      <c r="I99" s="5" t="n">
        <v>3420</v>
      </c>
      <c r="J99" s="6">
        <f>I99-D99</f>
        <v/>
      </c>
      <c r="K99" s="7">
        <f>(I99-D99)/D99</f>
        <v/>
      </c>
      <c r="L99" s="7">
        <f>(I99/D99)^(1/5)-1</f>
        <v/>
      </c>
      <c r="M99" s="7">
        <f>(G99-D99)/D99</f>
        <v/>
      </c>
      <c r="N99" s="7">
        <f>(I99-G99)/G99</f>
        <v/>
      </c>
      <c r="O99" s="12" t="inlineStr">
        <is>
          <t>Fuerte (+12%)</t>
        </is>
      </c>
    </row>
    <row r="100">
      <c r="A100" s="4" t="inlineStr">
        <is>
          <t>28031</t>
        </is>
      </c>
      <c r="B100" s="4" t="inlineStr">
        <is>
          <t>Cadalso de los Vidrios</t>
        </is>
      </c>
      <c r="C100" s="4" t="inlineStr">
        <is>
          <t>Sur-Sierra Oeste</t>
        </is>
      </c>
      <c r="D100" s="5" t="n">
        <v>3047</v>
      </c>
      <c r="E100" s="5" t="n">
        <v>3203</v>
      </c>
      <c r="F100" s="5" t="n">
        <v>3193</v>
      </c>
      <c r="G100" s="5" t="n">
        <v>3173</v>
      </c>
      <c r="H100" s="5" t="n">
        <v>3228</v>
      </c>
      <c r="I100" s="5" t="n">
        <v>3372</v>
      </c>
      <c r="J100" s="6">
        <f>I100-D100</f>
        <v/>
      </c>
      <c r="K100" s="7">
        <f>(I100-D100)/D100</f>
        <v/>
      </c>
      <c r="L100" s="7">
        <f>(I100/D100)^(1/5)-1</f>
        <v/>
      </c>
      <c r="M100" s="7">
        <f>(G100-D100)/D100</f>
        <v/>
      </c>
      <c r="N100" s="7">
        <f>(I100-G100)/G100</f>
        <v/>
      </c>
      <c r="O100" s="8" t="inlineStr">
        <is>
          <t>Alto (5-12%)</t>
        </is>
      </c>
    </row>
    <row r="101">
      <c r="A101" s="4" t="inlineStr">
        <is>
          <t>28093</t>
        </is>
      </c>
      <c r="B101" s="4" t="inlineStr">
        <is>
          <t>Navacerrada</t>
        </is>
      </c>
      <c r="C101" s="4" t="inlineStr">
        <is>
          <t>Noroeste (A-6)</t>
        </is>
      </c>
      <c r="D101" s="5" t="n">
        <v>3091</v>
      </c>
      <c r="E101" s="5" t="n">
        <v>3220</v>
      </c>
      <c r="F101" s="5" t="n">
        <v>3218</v>
      </c>
      <c r="G101" s="5" t="n">
        <v>3282</v>
      </c>
      <c r="H101" s="5" t="n">
        <v>3290</v>
      </c>
      <c r="I101" s="5" t="n">
        <v>3311</v>
      </c>
      <c r="J101" s="6">
        <f>I101-D101</f>
        <v/>
      </c>
      <c r="K101" s="7">
        <f>(I101-D101)/D101</f>
        <v/>
      </c>
      <c r="L101" s="7">
        <f>(I101/D101)^(1/5)-1</f>
        <v/>
      </c>
      <c r="M101" s="7">
        <f>(G101-D101)/D101</f>
        <v/>
      </c>
      <c r="N101" s="7">
        <f>(I101-G101)/G101</f>
        <v/>
      </c>
      <c r="O101" s="8" t="inlineStr">
        <is>
          <t>Alto (5-12%)</t>
        </is>
      </c>
    </row>
    <row r="102">
      <c r="A102" s="4" t="inlineStr">
        <is>
          <t>28165</t>
        </is>
      </c>
      <c r="B102" s="4" t="inlineStr">
        <is>
          <t>Valdilecha</t>
        </is>
      </c>
      <c r="C102" s="4" t="inlineStr">
        <is>
          <t>Sureste (A-3)</t>
        </is>
      </c>
      <c r="D102" s="5" t="n">
        <v>2982</v>
      </c>
      <c r="E102" s="5" t="n">
        <v>3079</v>
      </c>
      <c r="F102" s="5" t="n">
        <v>3104</v>
      </c>
      <c r="G102" s="5" t="n">
        <v>3191</v>
      </c>
      <c r="H102" s="5" t="n">
        <v>3213</v>
      </c>
      <c r="I102" s="5" t="n">
        <v>3289</v>
      </c>
      <c r="J102" s="6">
        <f>I102-D102</f>
        <v/>
      </c>
      <c r="K102" s="7">
        <f>(I102-D102)/D102</f>
        <v/>
      </c>
      <c r="L102" s="7">
        <f>(I102/D102)^(1/5)-1</f>
        <v/>
      </c>
      <c r="M102" s="7">
        <f>(G102-D102)/D102</f>
        <v/>
      </c>
      <c r="N102" s="7">
        <f>(I102-G102)/G102</f>
        <v/>
      </c>
      <c r="O102" s="8" t="inlineStr">
        <is>
          <t>Alto (5-12%)</t>
        </is>
      </c>
    </row>
    <row r="103">
      <c r="A103" s="4" t="inlineStr">
        <is>
          <t>28110</t>
        </is>
      </c>
      <c r="B103" s="4" t="inlineStr">
        <is>
          <t>Perales de Tajuña</t>
        </is>
      </c>
      <c r="C103" s="4" t="inlineStr">
        <is>
          <t>Sureste (A-3)</t>
        </is>
      </c>
      <c r="D103" s="5" t="n">
        <v>2990</v>
      </c>
      <c r="E103" s="5" t="n">
        <v>3059</v>
      </c>
      <c r="F103" s="5" t="n">
        <v>3117</v>
      </c>
      <c r="G103" s="5" t="n">
        <v>3176</v>
      </c>
      <c r="H103" s="5" t="n">
        <v>3207</v>
      </c>
      <c r="I103" s="5" t="n">
        <v>3260</v>
      </c>
      <c r="J103" s="6">
        <f>I103-D103</f>
        <v/>
      </c>
      <c r="K103" s="7">
        <f>(I103-D103)/D103</f>
        <v/>
      </c>
      <c r="L103" s="7">
        <f>(I103/D103)^(1/5)-1</f>
        <v/>
      </c>
      <c r="M103" s="7">
        <f>(G103-D103)/D103</f>
        <v/>
      </c>
      <c r="N103" s="7">
        <f>(I103-G103)/G103</f>
        <v/>
      </c>
      <c r="O103" s="8" t="inlineStr">
        <is>
          <t>Alto (5-12%)</t>
        </is>
      </c>
    </row>
    <row r="104">
      <c r="A104" s="4" t="inlineStr">
        <is>
          <t>28109</t>
        </is>
      </c>
      <c r="B104" s="4" t="inlineStr">
        <is>
          <t>Pelayos de la Presa</t>
        </is>
      </c>
      <c r="C104" s="4" t="inlineStr">
        <is>
          <t>Sur-Sierra Oeste</t>
        </is>
      </c>
      <c r="D104" s="5" t="n">
        <v>2676</v>
      </c>
      <c r="E104" s="5" t="n">
        <v>2827</v>
      </c>
      <c r="F104" s="5" t="n">
        <v>2867</v>
      </c>
      <c r="G104" s="5" t="n">
        <v>2982</v>
      </c>
      <c r="H104" s="5" t="n">
        <v>3136</v>
      </c>
      <c r="I104" s="5" t="n">
        <v>3195</v>
      </c>
      <c r="J104" s="6">
        <f>I104-D104</f>
        <v/>
      </c>
      <c r="K104" s="7">
        <f>(I104-D104)/D104</f>
        <v/>
      </c>
      <c r="L104" s="7">
        <f>(I104/D104)^(1/5)-1</f>
        <v/>
      </c>
      <c r="M104" s="7">
        <f>(G104-D104)/D104</f>
        <v/>
      </c>
      <c r="N104" s="7">
        <f>(I104-G104)/G104</f>
        <v/>
      </c>
      <c r="O104" s="12" t="inlineStr">
        <is>
          <t>Fuerte (+12%)</t>
        </is>
      </c>
    </row>
    <row r="105">
      <c r="A105" s="4" t="inlineStr">
        <is>
          <t>28095</t>
        </is>
      </c>
      <c r="B105" s="4" t="inlineStr">
        <is>
          <t>Navalagamella</t>
        </is>
      </c>
      <c r="C105" s="4" t="inlineStr">
        <is>
          <t>Sudoeste (A-5)</t>
        </is>
      </c>
      <c r="D105" s="5" t="n">
        <v>2637</v>
      </c>
      <c r="E105" s="5" t="n">
        <v>2720</v>
      </c>
      <c r="F105" s="5" t="n">
        <v>2809</v>
      </c>
      <c r="G105" s="5" t="n">
        <v>2982</v>
      </c>
      <c r="H105" s="5" t="n">
        <v>3111</v>
      </c>
      <c r="I105" s="5" t="n">
        <v>3169</v>
      </c>
      <c r="J105" s="6">
        <f>I105-D105</f>
        <v/>
      </c>
      <c r="K105" s="7">
        <f>(I105-D105)/D105</f>
        <v/>
      </c>
      <c r="L105" s="7">
        <f>(I105/D105)^(1/5)-1</f>
        <v/>
      </c>
      <c r="M105" s="7">
        <f>(G105-D105)/D105</f>
        <v/>
      </c>
      <c r="N105" s="7">
        <f>(I105-G105)/G105</f>
        <v/>
      </c>
      <c r="O105" s="12" t="inlineStr">
        <is>
          <t>Fuerte (+12%)</t>
        </is>
      </c>
    </row>
    <row r="106">
      <c r="A106" s="4" t="inlineStr">
        <is>
          <t>28146</t>
        </is>
      </c>
      <c r="B106" s="4" t="inlineStr">
        <is>
          <t>Tielmes</t>
        </is>
      </c>
      <c r="C106" s="4" t="inlineStr">
        <is>
          <t>Sureste (A-3)</t>
        </is>
      </c>
      <c r="D106" s="5" t="n">
        <v>2736</v>
      </c>
      <c r="E106" s="5" t="n">
        <v>2781</v>
      </c>
      <c r="F106" s="5" t="n">
        <v>2783</v>
      </c>
      <c r="G106" s="5" t="n">
        <v>2742</v>
      </c>
      <c r="H106" s="5" t="n">
        <v>2810</v>
      </c>
      <c r="I106" s="5" t="n">
        <v>2964</v>
      </c>
      <c r="J106" s="6">
        <f>I106-D106</f>
        <v/>
      </c>
      <c r="K106" s="7">
        <f>(I106-D106)/D106</f>
        <v/>
      </c>
      <c r="L106" s="7">
        <f>(I106/D106)^(1/5)-1</f>
        <v/>
      </c>
      <c r="M106" s="7">
        <f>(G106-D106)/D106</f>
        <v/>
      </c>
      <c r="N106" s="7">
        <f>(I106-G106)/G106</f>
        <v/>
      </c>
      <c r="O106" s="8" t="inlineStr">
        <is>
          <t>Alto (5-12%)</t>
        </is>
      </c>
    </row>
    <row r="107">
      <c r="A107" s="4" t="inlineStr">
        <is>
          <t>28174</t>
        </is>
      </c>
      <c r="B107" s="4" t="inlineStr">
        <is>
          <t>Villamanta</t>
        </is>
      </c>
      <c r="C107" s="4" t="inlineStr">
        <is>
          <t>Sudoeste (A-5)</t>
        </is>
      </c>
      <c r="D107" s="5" t="n">
        <v>2605</v>
      </c>
      <c r="E107" s="5" t="n">
        <v>2643</v>
      </c>
      <c r="F107" s="5" t="n">
        <v>2714</v>
      </c>
      <c r="G107" s="5" t="n">
        <v>2774</v>
      </c>
      <c r="H107" s="5" t="n">
        <v>2823</v>
      </c>
      <c r="I107" s="5" t="n">
        <v>2899</v>
      </c>
      <c r="J107" s="6">
        <f>I107-D107</f>
        <v/>
      </c>
      <c r="K107" s="7">
        <f>(I107-D107)/D107</f>
        <v/>
      </c>
      <c r="L107" s="7">
        <f>(I107/D107)^(1/5)-1</f>
        <v/>
      </c>
      <c r="M107" s="7">
        <f>(G107-D107)/D107</f>
        <v/>
      </c>
      <c r="N107" s="7">
        <f>(I107-G107)/G107</f>
        <v/>
      </c>
      <c r="O107" s="8" t="inlineStr">
        <is>
          <t>Alto (5-12%)</t>
        </is>
      </c>
    </row>
    <row r="108">
      <c r="A108" s="4" t="inlineStr">
        <is>
          <t>28030</t>
        </is>
      </c>
      <c r="B108" s="4" t="inlineStr">
        <is>
          <t>Cabrera, La</t>
        </is>
      </c>
      <c r="C108" s="4" t="inlineStr">
        <is>
          <t>Sierra Norte / Rural</t>
        </is>
      </c>
      <c r="D108" s="5" t="n">
        <v>2736</v>
      </c>
      <c r="E108" s="5" t="n">
        <v>2782</v>
      </c>
      <c r="F108" s="5" t="n">
        <v>2805</v>
      </c>
      <c r="G108" s="5" t="n">
        <v>2882</v>
      </c>
      <c r="H108" s="5" t="n">
        <v>2922</v>
      </c>
      <c r="I108" s="5" t="n">
        <v>2889</v>
      </c>
      <c r="J108" s="6">
        <f>I108-D108</f>
        <v/>
      </c>
      <c r="K108" s="7">
        <f>(I108-D108)/D108</f>
        <v/>
      </c>
      <c r="L108" s="7">
        <f>(I108/D108)^(1/5)-1</f>
        <v/>
      </c>
      <c r="M108" s="7">
        <f>(G108-D108)/D108</f>
        <v/>
      </c>
      <c r="N108" s="7">
        <f>(I108-G108)/G108</f>
        <v/>
      </c>
      <c r="O108" s="8" t="inlineStr">
        <is>
          <t>Alto (5-12%)</t>
        </is>
      </c>
    </row>
    <row r="109">
      <c r="A109" s="4" t="inlineStr">
        <is>
          <t>28028</t>
        </is>
      </c>
      <c r="B109" s="4" t="inlineStr">
        <is>
          <t>Bustarviejo</t>
        </is>
      </c>
      <c r="C109" s="4" t="inlineStr">
        <is>
          <t>Sierra Norte / Rural</t>
        </is>
      </c>
      <c r="D109" s="5" t="n">
        <v>2522</v>
      </c>
      <c r="E109" s="5" t="n">
        <v>2701</v>
      </c>
      <c r="F109" s="5" t="n">
        <v>2706</v>
      </c>
      <c r="G109" s="5" t="n">
        <v>2743</v>
      </c>
      <c r="H109" s="5" t="n">
        <v>2829</v>
      </c>
      <c r="I109" s="5" t="n">
        <v>2870</v>
      </c>
      <c r="J109" s="6">
        <f>I109-D109</f>
        <v/>
      </c>
      <c r="K109" s="7">
        <f>(I109-D109)/D109</f>
        <v/>
      </c>
      <c r="L109" s="7">
        <f>(I109/D109)^(1/5)-1</f>
        <v/>
      </c>
      <c r="M109" s="7">
        <f>(G109-D109)/D109</f>
        <v/>
      </c>
      <c r="N109" s="7">
        <f>(I109-G109)/G109</f>
        <v/>
      </c>
      <c r="O109" s="12" t="inlineStr">
        <is>
          <t>Fuerte (+12%)</t>
        </is>
      </c>
    </row>
    <row r="110">
      <c r="A110" s="4" t="inlineStr">
        <is>
          <t>28137</t>
        </is>
      </c>
      <c r="B110" s="4" t="inlineStr">
        <is>
          <t>Santos de la Humosa, Los</t>
        </is>
      </c>
      <c r="C110" s="4" t="inlineStr">
        <is>
          <t>Henares (E)</t>
        </is>
      </c>
      <c r="D110" s="5" t="n">
        <v>2694</v>
      </c>
      <c r="E110" s="5" t="n">
        <v>2729</v>
      </c>
      <c r="F110" s="5" t="n">
        <v>2751</v>
      </c>
      <c r="G110" s="5" t="n">
        <v>2772</v>
      </c>
      <c r="H110" s="5" t="n">
        <v>2785</v>
      </c>
      <c r="I110" s="5" t="n">
        <v>2867</v>
      </c>
      <c r="J110" s="6">
        <f>I110-D110</f>
        <v/>
      </c>
      <c r="K110" s="7">
        <f>(I110-D110)/D110</f>
        <v/>
      </c>
      <c r="L110" s="7">
        <f>(I110/D110)^(1/5)-1</f>
        <v/>
      </c>
      <c r="M110" s="7">
        <f>(G110-D110)/D110</f>
        <v/>
      </c>
      <c r="N110" s="7">
        <f>(I110-G110)/G110</f>
        <v/>
      </c>
      <c r="O110" s="8" t="inlineStr">
        <is>
          <t>Alto (5-12%)</t>
        </is>
      </c>
    </row>
    <row r="111">
      <c r="A111" s="4" t="inlineStr">
        <is>
          <t>28051</t>
        </is>
      </c>
      <c r="B111" s="4" t="inlineStr">
        <is>
          <t>Chapinería</t>
        </is>
      </c>
      <c r="C111" s="4" t="inlineStr">
        <is>
          <t>Sudoeste (A-5)</t>
        </is>
      </c>
      <c r="D111" s="5" t="n">
        <v>2414</v>
      </c>
      <c r="E111" s="5" t="n">
        <v>2494</v>
      </c>
      <c r="F111" s="5" t="n">
        <v>2512</v>
      </c>
      <c r="G111" s="5" t="n">
        <v>2604</v>
      </c>
      <c r="H111" s="5" t="n">
        <v>2642</v>
      </c>
      <c r="I111" s="5" t="n">
        <v>2705</v>
      </c>
      <c r="J111" s="6">
        <f>I111-D111</f>
        <v/>
      </c>
      <c r="K111" s="7">
        <f>(I111-D111)/D111</f>
        <v/>
      </c>
      <c r="L111" s="7">
        <f>(I111/D111)^(1/5)-1</f>
        <v/>
      </c>
      <c r="M111" s="7">
        <f>(G111-D111)/D111</f>
        <v/>
      </c>
      <c r="N111" s="7">
        <f>(I111-G111)/G111</f>
        <v/>
      </c>
      <c r="O111" s="12" t="inlineStr">
        <is>
          <t>Fuerte (+12%)</t>
        </is>
      </c>
    </row>
    <row r="112">
      <c r="A112" s="4" t="inlineStr">
        <is>
          <t>28169</t>
        </is>
      </c>
      <c r="B112" s="4" t="inlineStr">
        <is>
          <t>Venturada</t>
        </is>
      </c>
      <c r="C112" s="4" t="inlineStr">
        <is>
          <t>Norte (A-1)</t>
        </is>
      </c>
      <c r="D112" s="5" t="n">
        <v>2241</v>
      </c>
      <c r="E112" s="5" t="n">
        <v>2387</v>
      </c>
      <c r="F112" s="5" t="n">
        <v>2445</v>
      </c>
      <c r="G112" s="5" t="n">
        <v>2554</v>
      </c>
      <c r="H112" s="5" t="n">
        <v>2559</v>
      </c>
      <c r="I112" s="5" t="n">
        <v>2622</v>
      </c>
      <c r="J112" s="6">
        <f>I112-D112</f>
        <v/>
      </c>
      <c r="K112" s="7">
        <f>(I112-D112)/D112</f>
        <v/>
      </c>
      <c r="L112" s="7">
        <f>(I112/D112)^(1/5)-1</f>
        <v/>
      </c>
      <c r="M112" s="7">
        <f>(G112-D112)/D112</f>
        <v/>
      </c>
      <c r="N112" s="7">
        <f>(I112-G112)/G112</f>
        <v/>
      </c>
      <c r="O112" s="12" t="inlineStr">
        <is>
          <t>Fuerte (+12%)</t>
        </is>
      </c>
    </row>
    <row r="113">
      <c r="A113" s="4" t="inlineStr">
        <is>
          <t>28057</t>
        </is>
      </c>
      <c r="B113" s="4" t="inlineStr">
        <is>
          <t>Fresno de Torote</t>
        </is>
      </c>
      <c r="C113" s="4" t="inlineStr">
        <is>
          <t>Henares (E)</t>
        </is>
      </c>
      <c r="D113" s="5" t="n">
        <v>2299</v>
      </c>
      <c r="E113" s="5" t="n">
        <v>2416</v>
      </c>
      <c r="F113" s="5" t="n">
        <v>2444</v>
      </c>
      <c r="G113" s="5" t="n">
        <v>2522</v>
      </c>
      <c r="H113" s="5" t="n">
        <v>2548</v>
      </c>
      <c r="I113" s="5" t="n">
        <v>2561</v>
      </c>
      <c r="J113" s="6">
        <f>I113-D113</f>
        <v/>
      </c>
      <c r="K113" s="7">
        <f>(I113-D113)/D113</f>
        <v/>
      </c>
      <c r="L113" s="7">
        <f>(I113/D113)^(1/5)-1</f>
        <v/>
      </c>
      <c r="M113" s="7">
        <f>(G113-D113)/D113</f>
        <v/>
      </c>
      <c r="N113" s="7">
        <f>(I113-G113)/G113</f>
        <v/>
      </c>
      <c r="O113" s="8" t="inlineStr">
        <is>
          <t>Alto (5-12%)</t>
        </is>
      </c>
    </row>
    <row r="114">
      <c r="A114" s="4" t="inlineStr">
        <is>
          <t>28035</t>
        </is>
      </c>
      <c r="B114" s="4" t="inlineStr">
        <is>
          <t>Carabaña</t>
        </is>
      </c>
      <c r="C114" s="4" t="inlineStr">
        <is>
          <t>Sureste (A-3)</t>
        </is>
      </c>
      <c r="D114" s="5" t="n">
        <v>2081</v>
      </c>
      <c r="E114" s="5" t="n">
        <v>2142</v>
      </c>
      <c r="F114" s="5" t="n">
        <v>2210</v>
      </c>
      <c r="G114" s="5" t="n">
        <v>2273</v>
      </c>
      <c r="H114" s="5" t="n">
        <v>2352</v>
      </c>
      <c r="I114" s="5" t="n">
        <v>2451</v>
      </c>
      <c r="J114" s="6">
        <f>I114-D114</f>
        <v/>
      </c>
      <c r="K114" s="7">
        <f>(I114-D114)/D114</f>
        <v/>
      </c>
      <c r="L114" s="7">
        <f>(I114/D114)^(1/5)-1</f>
        <v/>
      </c>
      <c r="M114" s="7">
        <f>(G114-D114)/D114</f>
        <v/>
      </c>
      <c r="N114" s="7">
        <f>(I114-G114)/G114</f>
        <v/>
      </c>
      <c r="O114" s="12" t="inlineStr">
        <is>
          <t>Fuerte (+12%)</t>
        </is>
      </c>
    </row>
    <row r="115">
      <c r="A115" s="4" t="inlineStr">
        <is>
          <t>28060</t>
        </is>
      </c>
      <c r="B115" s="4" t="inlineStr">
        <is>
          <t>Fuentidueña de Tajo</t>
        </is>
      </c>
      <c r="C115" s="4" t="inlineStr">
        <is>
          <t>Sureste (A-3)</t>
        </is>
      </c>
      <c r="D115" s="5" t="n">
        <v>2136</v>
      </c>
      <c r="E115" s="5" t="n">
        <v>2228</v>
      </c>
      <c r="F115" s="5" t="n">
        <v>2250</v>
      </c>
      <c r="G115" s="5" t="n">
        <v>2270</v>
      </c>
      <c r="H115" s="5" t="n">
        <v>2328</v>
      </c>
      <c r="I115" s="5" t="n">
        <v>2372</v>
      </c>
      <c r="J115" s="6">
        <f>I115-D115</f>
        <v/>
      </c>
      <c r="K115" s="7">
        <f>(I115-D115)/D115</f>
        <v/>
      </c>
      <c r="L115" s="7">
        <f>(I115/D115)^(1/5)-1</f>
        <v/>
      </c>
      <c r="M115" s="7">
        <f>(G115-D115)/D115</f>
        <v/>
      </c>
      <c r="N115" s="7">
        <f>(I115-G115)/G115</f>
        <v/>
      </c>
      <c r="O115" s="8" t="inlineStr">
        <is>
          <t>Alto (5-12%)</t>
        </is>
      </c>
    </row>
    <row r="116">
      <c r="A116" s="4" t="inlineStr">
        <is>
          <t>28179</t>
        </is>
      </c>
      <c r="B116" s="4" t="inlineStr">
        <is>
          <t>Villar del Olmo</t>
        </is>
      </c>
      <c r="C116" s="4" t="inlineStr">
        <is>
          <t>Sureste (A-3)</t>
        </is>
      </c>
      <c r="D116" s="5" t="n">
        <v>2079</v>
      </c>
      <c r="E116" s="5" t="n">
        <v>2211</v>
      </c>
      <c r="F116" s="5" t="n">
        <v>2219</v>
      </c>
      <c r="G116" s="5" t="n">
        <v>2258</v>
      </c>
      <c r="H116" s="5" t="n">
        <v>2277</v>
      </c>
      <c r="I116" s="5" t="n">
        <v>2341</v>
      </c>
      <c r="J116" s="6">
        <f>I116-D116</f>
        <v/>
      </c>
      <c r="K116" s="7">
        <f>(I116-D116)/D116</f>
        <v/>
      </c>
      <c r="L116" s="7">
        <f>(I116/D116)^(1/5)-1</f>
        <v/>
      </c>
      <c r="M116" s="7">
        <f>(G116-D116)/D116</f>
        <v/>
      </c>
      <c r="N116" s="7">
        <f>(I116-G116)/G116</f>
        <v/>
      </c>
      <c r="O116" s="12" t="inlineStr">
        <is>
          <t>Fuerte (+12%)</t>
        </is>
      </c>
    </row>
    <row r="117">
      <c r="A117" s="4" t="inlineStr">
        <is>
          <t>28168</t>
        </is>
      </c>
      <c r="B117" s="4" t="inlineStr">
        <is>
          <t>Vellón, El</t>
        </is>
      </c>
      <c r="C117" s="4" t="inlineStr">
        <is>
          <t>Norte (A-1)</t>
        </is>
      </c>
      <c r="D117" s="5" t="n">
        <v>2004</v>
      </c>
      <c r="E117" s="5" t="n">
        <v>2083</v>
      </c>
      <c r="F117" s="5" t="n">
        <v>2124</v>
      </c>
      <c r="G117" s="5" t="n">
        <v>2200</v>
      </c>
      <c r="H117" s="5" t="n">
        <v>2166</v>
      </c>
      <c r="I117" s="5" t="n">
        <v>2281</v>
      </c>
      <c r="J117" s="6">
        <f>I117-D117</f>
        <v/>
      </c>
      <c r="K117" s="7">
        <f>(I117-D117)/D117</f>
        <v/>
      </c>
      <c r="L117" s="7">
        <f>(I117/D117)^(1/5)-1</f>
        <v/>
      </c>
      <c r="M117" s="7">
        <f>(G117-D117)/D117</f>
        <v/>
      </c>
      <c r="N117" s="7">
        <f>(I117-G117)/G117</f>
        <v/>
      </c>
      <c r="O117" s="12" t="inlineStr">
        <is>
          <t>Fuerte (+12%)</t>
        </is>
      </c>
    </row>
    <row r="118">
      <c r="A118" s="4" t="inlineStr">
        <is>
          <t>28037</t>
        </is>
      </c>
      <c r="B118" s="4" t="inlineStr">
        <is>
          <t>Cenicientos</t>
        </is>
      </c>
      <c r="C118" s="4" t="inlineStr">
        <is>
          <t>Sur-Sierra Oeste</t>
        </is>
      </c>
      <c r="D118" s="5" t="n">
        <v>2038</v>
      </c>
      <c r="E118" s="5" t="n">
        <v>2083</v>
      </c>
      <c r="F118" s="5" t="n">
        <v>2089</v>
      </c>
      <c r="G118" s="5" t="n">
        <v>2097</v>
      </c>
      <c r="H118" s="5" t="n">
        <v>2148</v>
      </c>
      <c r="I118" s="5" t="n">
        <v>2152</v>
      </c>
      <c r="J118" s="6">
        <f>I118-D118</f>
        <v/>
      </c>
      <c r="K118" s="7">
        <f>(I118-D118)/D118</f>
        <v/>
      </c>
      <c r="L118" s="7">
        <f>(I118/D118)^(1/5)-1</f>
        <v/>
      </c>
      <c r="M118" s="7">
        <f>(G118-D118)/D118</f>
        <v/>
      </c>
      <c r="N118" s="7">
        <f>(I118-G118)/G118</f>
        <v/>
      </c>
      <c r="O118" s="8" t="inlineStr">
        <is>
          <t>Alto (5-12%)</t>
        </is>
      </c>
    </row>
    <row r="119">
      <c r="A119" s="4" t="inlineStr">
        <is>
          <t>28042</t>
        </is>
      </c>
      <c r="B119" s="4" t="inlineStr">
        <is>
          <t>Colmenar del Arroyo</t>
        </is>
      </c>
      <c r="C119" s="4" t="inlineStr">
        <is>
          <t>Sudoeste (A-5)</t>
        </is>
      </c>
      <c r="D119" s="5" t="n">
        <v>1785</v>
      </c>
      <c r="E119" s="5" t="n">
        <v>1875</v>
      </c>
      <c r="F119" s="5" t="n">
        <v>1936</v>
      </c>
      <c r="G119" s="5" t="n">
        <v>1947</v>
      </c>
      <c r="H119" s="5" t="n">
        <v>2015</v>
      </c>
      <c r="I119" s="5" t="n">
        <v>2044</v>
      </c>
      <c r="J119" s="6">
        <f>I119-D119</f>
        <v/>
      </c>
      <c r="K119" s="7">
        <f>(I119-D119)/D119</f>
        <v/>
      </c>
      <c r="L119" s="7">
        <f>(I119/D119)^(1/5)-1</f>
        <v/>
      </c>
      <c r="M119" s="7">
        <f>(G119-D119)/D119</f>
        <v/>
      </c>
      <c r="N119" s="7">
        <f>(I119-G119)/G119</f>
        <v/>
      </c>
      <c r="O119" s="12" t="inlineStr">
        <is>
          <t>Fuerte (+12%)</t>
        </is>
      </c>
    </row>
    <row r="120">
      <c r="A120" s="4" t="inlineStr">
        <is>
          <t>28027</t>
        </is>
      </c>
      <c r="B120" s="4" t="inlineStr">
        <is>
          <t>Buitrago del Lozoya</t>
        </is>
      </c>
      <c r="C120" s="4" t="inlineStr">
        <is>
          <t>Sierra Norte / Rural</t>
        </is>
      </c>
      <c r="D120" s="5" t="n">
        <v>1959</v>
      </c>
      <c r="E120" s="5" t="n">
        <v>1940</v>
      </c>
      <c r="F120" s="5" t="n">
        <v>1948</v>
      </c>
      <c r="G120" s="5" t="n">
        <v>1967</v>
      </c>
      <c r="H120" s="5" t="n">
        <v>1973</v>
      </c>
      <c r="I120" s="5" t="n">
        <v>2034</v>
      </c>
      <c r="J120" s="6">
        <f>I120-D120</f>
        <v/>
      </c>
      <c r="K120" s="7">
        <f>(I120-D120)/D120</f>
        <v/>
      </c>
      <c r="L120" s="7">
        <f>(I120/D120)^(1/5)-1</f>
        <v/>
      </c>
      <c r="M120" s="7">
        <f>(G120-D120)/D120</f>
        <v/>
      </c>
      <c r="N120" s="7">
        <f>(I120-G120)/G120</f>
        <v/>
      </c>
      <c r="O120" s="9" t="inlineStr">
        <is>
          <t>Moderado (2-5%)</t>
        </is>
      </c>
    </row>
    <row r="121">
      <c r="A121" s="4" t="inlineStr">
        <is>
          <t>28017</t>
        </is>
      </c>
      <c r="B121" s="4" t="inlineStr">
        <is>
          <t>Batres</t>
        </is>
      </c>
      <c r="C121" s="4" t="inlineStr">
        <is>
          <t>Sur (A-4/A-42)</t>
        </is>
      </c>
      <c r="D121" s="5" t="n">
        <v>1750</v>
      </c>
      <c r="E121" s="5" t="n">
        <v>1820</v>
      </c>
      <c r="F121" s="5" t="n">
        <v>1823</v>
      </c>
      <c r="G121" s="5" t="n">
        <v>1872</v>
      </c>
      <c r="H121" s="5" t="n">
        <v>1943</v>
      </c>
      <c r="I121" s="5" t="n">
        <v>1976</v>
      </c>
      <c r="J121" s="6">
        <f>I121-D121</f>
        <v/>
      </c>
      <c r="K121" s="7">
        <f>(I121-D121)/D121</f>
        <v/>
      </c>
      <c r="L121" s="7">
        <f>(I121/D121)^(1/5)-1</f>
        <v/>
      </c>
      <c r="M121" s="7">
        <f>(G121-D121)/D121</f>
        <v/>
      </c>
      <c r="N121" s="7">
        <f>(I121-G121)/G121</f>
        <v/>
      </c>
      <c r="O121" s="12" t="inlineStr">
        <is>
          <t>Fuerte (+12%)</t>
        </is>
      </c>
    </row>
    <row r="122">
      <c r="A122" s="4" t="inlineStr">
        <is>
          <t>28019</t>
        </is>
      </c>
      <c r="B122" s="4" t="inlineStr">
        <is>
          <t>Belmonte de Tajo</t>
        </is>
      </c>
      <c r="C122" s="4" t="inlineStr">
        <is>
          <t>Sureste (A-3)</t>
        </is>
      </c>
      <c r="D122" s="5" t="n">
        <v>1683</v>
      </c>
      <c r="E122" s="5" t="n">
        <v>1751</v>
      </c>
      <c r="F122" s="5" t="n">
        <v>1769</v>
      </c>
      <c r="G122" s="5" t="n">
        <v>1840</v>
      </c>
      <c r="H122" s="5" t="n">
        <v>1917</v>
      </c>
      <c r="I122" s="5" t="n">
        <v>1955</v>
      </c>
      <c r="J122" s="6">
        <f>I122-D122</f>
        <v/>
      </c>
      <c r="K122" s="7">
        <f>(I122-D122)/D122</f>
        <v/>
      </c>
      <c r="L122" s="7">
        <f>(I122/D122)^(1/5)-1</f>
        <v/>
      </c>
      <c r="M122" s="7">
        <f>(G122-D122)/D122</f>
        <v/>
      </c>
      <c r="N122" s="7">
        <f>(I122-G122)/G122</f>
        <v/>
      </c>
      <c r="O122" s="12" t="inlineStr">
        <is>
          <t>Fuerte (+12%)</t>
        </is>
      </c>
    </row>
    <row r="123">
      <c r="A123" s="4" t="inlineStr">
        <is>
          <t>28183</t>
        </is>
      </c>
      <c r="B123" s="4" t="inlineStr">
        <is>
          <t>Zarzalejo</t>
        </is>
      </c>
      <c r="C123" s="4" t="inlineStr">
        <is>
          <t>Noroeste (A-6)</t>
        </is>
      </c>
      <c r="D123" s="5" t="n">
        <v>1734</v>
      </c>
      <c r="E123" s="5" t="n">
        <v>1786</v>
      </c>
      <c r="F123" s="5" t="n">
        <v>1773</v>
      </c>
      <c r="G123" s="5" t="n">
        <v>1810</v>
      </c>
      <c r="H123" s="5" t="n">
        <v>1874</v>
      </c>
      <c r="I123" s="5" t="n">
        <v>1946</v>
      </c>
      <c r="J123" s="6">
        <f>I123-D123</f>
        <v/>
      </c>
      <c r="K123" s="7">
        <f>(I123-D123)/D123</f>
        <v/>
      </c>
      <c r="L123" s="7">
        <f>(I123/D123)^(1/5)-1</f>
        <v/>
      </c>
      <c r="M123" s="7">
        <f>(G123-D123)/D123</f>
        <v/>
      </c>
      <c r="N123" s="7">
        <f>(I123-G123)/G123</f>
        <v/>
      </c>
      <c r="O123" s="12" t="inlineStr">
        <is>
          <t>Fuerte (+12%)</t>
        </is>
      </c>
    </row>
    <row r="124">
      <c r="A124" s="4" t="inlineStr">
        <is>
          <t>28156</t>
        </is>
      </c>
      <c r="B124" s="4" t="inlineStr">
        <is>
          <t>Valdeavero</t>
        </is>
      </c>
      <c r="C124" s="4" t="inlineStr">
        <is>
          <t>Henares (E)</t>
        </is>
      </c>
      <c r="D124" s="5" t="n">
        <v>1591</v>
      </c>
      <c r="E124" s="5" t="n">
        <v>1670</v>
      </c>
      <c r="F124" s="5" t="n">
        <v>1701</v>
      </c>
      <c r="G124" s="5" t="n">
        <v>1782</v>
      </c>
      <c r="H124" s="5" t="n">
        <v>1823</v>
      </c>
      <c r="I124" s="5" t="n">
        <v>1896</v>
      </c>
      <c r="J124" s="6">
        <f>I124-D124</f>
        <v/>
      </c>
      <c r="K124" s="7">
        <f>(I124-D124)/D124</f>
        <v/>
      </c>
      <c r="L124" s="7">
        <f>(I124/D124)^(1/5)-1</f>
        <v/>
      </c>
      <c r="M124" s="7">
        <f>(G124-D124)/D124</f>
        <v/>
      </c>
      <c r="N124" s="7">
        <f>(I124-G124)/G124</f>
        <v/>
      </c>
      <c r="O124" s="12" t="inlineStr">
        <is>
          <t>Fuerte (+12%)</t>
        </is>
      </c>
    </row>
    <row r="125">
      <c r="A125" s="4" t="inlineStr">
        <is>
          <t>28056</t>
        </is>
      </c>
      <c r="B125" s="4" t="inlineStr">
        <is>
          <t>Fresnedillas de la Oliva</t>
        </is>
      </c>
      <c r="C125" s="4" t="inlineStr">
        <is>
          <t>Sudoeste (A-5)</t>
        </is>
      </c>
      <c r="D125" s="5" t="n">
        <v>1651</v>
      </c>
      <c r="E125" s="5" t="n">
        <v>1742</v>
      </c>
      <c r="F125" s="5" t="n">
        <v>1784</v>
      </c>
      <c r="G125" s="5" t="n">
        <v>1791</v>
      </c>
      <c r="H125" s="5" t="n">
        <v>1837</v>
      </c>
      <c r="I125" s="5" t="n">
        <v>1883</v>
      </c>
      <c r="J125" s="6">
        <f>I125-D125</f>
        <v/>
      </c>
      <c r="K125" s="7">
        <f>(I125-D125)/D125</f>
        <v/>
      </c>
      <c r="L125" s="7">
        <f>(I125/D125)^(1/5)-1</f>
        <v/>
      </c>
      <c r="M125" s="7">
        <f>(G125-D125)/D125</f>
        <v/>
      </c>
      <c r="N125" s="7">
        <f>(I125-G125)/G125</f>
        <v/>
      </c>
      <c r="O125" s="12" t="inlineStr">
        <is>
          <t>Fuerte (+12%)</t>
        </is>
      </c>
    </row>
    <row r="126">
      <c r="A126" s="4" t="inlineStr">
        <is>
          <t>28178</t>
        </is>
      </c>
      <c r="B126" s="4" t="inlineStr">
        <is>
          <t>Villanueva de Perales</t>
        </is>
      </c>
      <c r="C126" s="4" t="inlineStr">
        <is>
          <t>Sudoeste (A-5)</t>
        </is>
      </c>
      <c r="D126" s="5" t="n">
        <v>1592</v>
      </c>
      <c r="E126" s="5" t="n">
        <v>1599</v>
      </c>
      <c r="F126" s="5" t="n">
        <v>1623</v>
      </c>
      <c r="G126" s="5" t="n">
        <v>1671</v>
      </c>
      <c r="H126" s="5" t="n">
        <v>1674</v>
      </c>
      <c r="I126" s="5" t="n">
        <v>1715</v>
      </c>
      <c r="J126" s="6">
        <f>I126-D126</f>
        <v/>
      </c>
      <c r="K126" s="7">
        <f>(I126-D126)/D126</f>
        <v/>
      </c>
      <c r="L126" s="7">
        <f>(I126/D126)^(1/5)-1</f>
        <v/>
      </c>
      <c r="M126" s="7">
        <f>(G126-D126)/D126</f>
        <v/>
      </c>
      <c r="N126" s="7">
        <f>(I126-G126)/G126</f>
        <v/>
      </c>
      <c r="O126" s="8" t="inlineStr">
        <is>
          <t>Alto (5-12%)</t>
        </is>
      </c>
    </row>
    <row r="127">
      <c r="A127" s="4" t="inlineStr">
        <is>
          <t>28120</t>
        </is>
      </c>
      <c r="B127" s="4" t="inlineStr">
        <is>
          <t>Rascafría</t>
        </is>
      </c>
      <c r="C127" s="4" t="inlineStr">
        <is>
          <t>Sierra Norte / Rural</t>
        </is>
      </c>
      <c r="D127" s="5" t="n">
        <v>1725</v>
      </c>
      <c r="E127" s="5" t="n">
        <v>1754</v>
      </c>
      <c r="F127" s="5" t="n">
        <v>1736</v>
      </c>
      <c r="G127" s="5" t="n">
        <v>1736</v>
      </c>
      <c r="H127" s="5" t="n">
        <v>1707</v>
      </c>
      <c r="I127" s="5" t="n">
        <v>1704</v>
      </c>
      <c r="J127" s="6">
        <f>I127-D127</f>
        <v/>
      </c>
      <c r="K127" s="7">
        <f>(I127-D127)/D127</f>
        <v/>
      </c>
      <c r="L127" s="7">
        <f>(I127/D127)^(1/5)-1</f>
        <v/>
      </c>
      <c r="M127" s="7">
        <f>(G127-D127)/D127</f>
        <v/>
      </c>
      <c r="N127" s="7">
        <f>(I127-G127)/G127</f>
        <v/>
      </c>
      <c r="O127" s="10" t="inlineStr">
        <is>
          <t>Decrece</t>
        </is>
      </c>
    </row>
    <row r="128">
      <c r="A128" s="4" t="inlineStr">
        <is>
          <t>28094</t>
        </is>
      </c>
      <c r="B128" s="4" t="inlineStr">
        <is>
          <t>Navalafuente</t>
        </is>
      </c>
      <c r="C128" s="4" t="inlineStr">
        <is>
          <t>Norte (A-1)</t>
        </is>
      </c>
      <c r="D128" s="5" t="n">
        <v>1511</v>
      </c>
      <c r="E128" s="5" t="n">
        <v>1573</v>
      </c>
      <c r="F128" s="5" t="n">
        <v>1574</v>
      </c>
      <c r="G128" s="5" t="n">
        <v>1637</v>
      </c>
      <c r="H128" s="5" t="n">
        <v>1672</v>
      </c>
      <c r="I128" s="5" t="n">
        <v>1693</v>
      </c>
      <c r="J128" s="6">
        <f>I128-D128</f>
        <v/>
      </c>
      <c r="K128" s="7">
        <f>(I128-D128)/D128</f>
        <v/>
      </c>
      <c r="L128" s="7">
        <f>(I128/D128)^(1/5)-1</f>
        <v/>
      </c>
      <c r="M128" s="7">
        <f>(G128-D128)/D128</f>
        <v/>
      </c>
      <c r="N128" s="7">
        <f>(I128-G128)/G128</f>
        <v/>
      </c>
      <c r="O128" s="12" t="inlineStr">
        <is>
          <t>Fuerte (+12%)</t>
        </is>
      </c>
    </row>
    <row r="129">
      <c r="A129" s="4" t="inlineStr">
        <is>
          <t>28175</t>
        </is>
      </c>
      <c r="B129" s="4" t="inlineStr">
        <is>
          <t>Villamantilla</t>
        </is>
      </c>
      <c r="C129" s="4" t="inlineStr">
        <is>
          <t>Sudoeste (A-5)</t>
        </is>
      </c>
      <c r="D129" s="5" t="n">
        <v>1482</v>
      </c>
      <c r="E129" s="5" t="n">
        <v>1514</v>
      </c>
      <c r="F129" s="5" t="n">
        <v>1567</v>
      </c>
      <c r="G129" s="5" t="n">
        <v>1576</v>
      </c>
      <c r="H129" s="5" t="n">
        <v>1624</v>
      </c>
      <c r="I129" s="5" t="n">
        <v>1660</v>
      </c>
      <c r="J129" s="6">
        <f>I129-D129</f>
        <v/>
      </c>
      <c r="K129" s="7">
        <f>(I129-D129)/D129</f>
        <v/>
      </c>
      <c r="L129" s="7">
        <f>(I129/D129)^(1/5)-1</f>
        <v/>
      </c>
      <c r="M129" s="7">
        <f>(G129-D129)/D129</f>
        <v/>
      </c>
      <c r="N129" s="7">
        <f>(I129-G129)/G129</f>
        <v/>
      </c>
      <c r="O129" s="12" t="inlineStr">
        <is>
          <t>Fuerte (+12%)</t>
        </is>
      </c>
    </row>
    <row r="130">
      <c r="A130" s="4" t="inlineStr">
        <is>
          <t>28135</t>
        </is>
      </c>
      <c r="B130" s="4" t="inlineStr">
        <is>
          <t>Santa María de la Alameda</t>
        </is>
      </c>
      <c r="C130" s="4" t="inlineStr">
        <is>
          <t>Noroeste (A-6)</t>
        </is>
      </c>
      <c r="D130" s="5" t="n">
        <v>1321</v>
      </c>
      <c r="E130" s="5" t="n">
        <v>1436</v>
      </c>
      <c r="F130" s="5" t="n">
        <v>1499</v>
      </c>
      <c r="G130" s="5" t="n">
        <v>1517</v>
      </c>
      <c r="H130" s="5" t="n">
        <v>1517</v>
      </c>
      <c r="I130" s="5" t="n">
        <v>1584</v>
      </c>
      <c r="J130" s="6">
        <f>I130-D130</f>
        <v/>
      </c>
      <c r="K130" s="7">
        <f>(I130-D130)/D130</f>
        <v/>
      </c>
      <c r="L130" s="7">
        <f>(I130/D130)^(1/5)-1</f>
        <v/>
      </c>
      <c r="M130" s="7">
        <f>(G130-D130)/D130</f>
        <v/>
      </c>
      <c r="N130" s="7">
        <f>(I130-G130)/G130</f>
        <v/>
      </c>
      <c r="O130" s="12" t="inlineStr">
        <is>
          <t>Fuerte (+12%)</t>
        </is>
      </c>
    </row>
    <row r="131">
      <c r="A131" s="4" t="inlineStr">
        <is>
          <t>28102</t>
        </is>
      </c>
      <c r="B131" s="4" t="inlineStr">
        <is>
          <t>Orusco de Tajuña</t>
        </is>
      </c>
      <c r="C131" s="4" t="inlineStr">
        <is>
          <t>Sureste (A-3)</t>
        </is>
      </c>
      <c r="D131" s="5" t="n">
        <v>1295</v>
      </c>
      <c r="E131" s="5" t="n">
        <v>1291</v>
      </c>
      <c r="F131" s="5" t="n">
        <v>1326</v>
      </c>
      <c r="G131" s="5" t="n">
        <v>1415</v>
      </c>
      <c r="H131" s="5" t="n">
        <v>1511</v>
      </c>
      <c r="I131" s="5" t="n">
        <v>1531</v>
      </c>
      <c r="J131" s="6">
        <f>I131-D131</f>
        <v/>
      </c>
      <c r="K131" s="7">
        <f>(I131-D131)/D131</f>
        <v/>
      </c>
      <c r="L131" s="7">
        <f>(I131/D131)^(1/5)-1</f>
        <v/>
      </c>
      <c r="M131" s="7">
        <f>(G131-D131)/D131</f>
        <v/>
      </c>
      <c r="N131" s="7">
        <f>(I131-G131)/G131</f>
        <v/>
      </c>
      <c r="O131" s="12" t="inlineStr">
        <is>
          <t>Fuerte (+12%)</t>
        </is>
      </c>
    </row>
    <row r="132">
      <c r="A132" s="4" t="inlineStr">
        <is>
          <t>28055</t>
        </is>
      </c>
      <c r="B132" s="4" t="inlineStr">
        <is>
          <t>Estremera</t>
        </is>
      </c>
      <c r="C132" s="4" t="inlineStr">
        <is>
          <t>Sureste (A-3)</t>
        </is>
      </c>
      <c r="D132" s="5" t="n">
        <v>1334</v>
      </c>
      <c r="E132" s="5" t="n">
        <v>1381</v>
      </c>
      <c r="F132" s="5" t="n">
        <v>1410</v>
      </c>
      <c r="G132" s="5" t="n">
        <v>1453</v>
      </c>
      <c r="H132" s="5" t="n">
        <v>1467</v>
      </c>
      <c r="I132" s="5" t="n">
        <v>1473</v>
      </c>
      <c r="J132" s="6">
        <f>I132-D132</f>
        <v/>
      </c>
      <c r="K132" s="7">
        <f>(I132-D132)/D132</f>
        <v/>
      </c>
      <c r="L132" s="7">
        <f>(I132/D132)^(1/5)-1</f>
        <v/>
      </c>
      <c r="M132" s="7">
        <f>(G132-D132)/D132</f>
        <v/>
      </c>
      <c r="N132" s="7">
        <f>(I132-G132)/G132</f>
        <v/>
      </c>
      <c r="O132" s="8" t="inlineStr">
        <is>
          <t>Alto (5-12%)</t>
        </is>
      </c>
    </row>
    <row r="133">
      <c r="A133" s="4" t="inlineStr">
        <is>
          <t>28901</t>
        </is>
      </c>
      <c r="B133" s="4" t="inlineStr">
        <is>
          <t>Lozoyuela-Navas-Sieteiglesias</t>
        </is>
      </c>
      <c r="C133" s="4" t="inlineStr">
        <is>
          <t>Sierra Norte / Rural</t>
        </is>
      </c>
      <c r="D133" s="5" t="n">
        <v>1340</v>
      </c>
      <c r="E133" s="5" t="n">
        <v>1407</v>
      </c>
      <c r="F133" s="5" t="n">
        <v>1461</v>
      </c>
      <c r="G133" s="5" t="n">
        <v>1483</v>
      </c>
      <c r="H133" s="5" t="n">
        <v>1483</v>
      </c>
      <c r="I133" s="5" t="n">
        <v>1468</v>
      </c>
      <c r="J133" s="6">
        <f>I133-D133</f>
        <v/>
      </c>
      <c r="K133" s="7">
        <f>(I133-D133)/D133</f>
        <v/>
      </c>
      <c r="L133" s="7">
        <f>(I133/D133)^(1/5)-1</f>
        <v/>
      </c>
      <c r="M133" s="7">
        <f>(G133-D133)/D133</f>
        <v/>
      </c>
      <c r="N133" s="7">
        <f>(I133-G133)/G133</f>
        <v/>
      </c>
      <c r="O133" s="8" t="inlineStr">
        <is>
          <t>Alto (5-12%)</t>
        </is>
      </c>
    </row>
    <row r="134">
      <c r="A134" s="4" t="inlineStr">
        <is>
          <t>28012</t>
        </is>
      </c>
      <c r="B134" s="4" t="inlineStr">
        <is>
          <t>Anchuelo</t>
        </is>
      </c>
      <c r="C134" s="4" t="inlineStr">
        <is>
          <t>Henares (E)</t>
        </is>
      </c>
      <c r="D134" s="5" t="n">
        <v>1286</v>
      </c>
      <c r="E134" s="5" t="n">
        <v>1359</v>
      </c>
      <c r="F134" s="5" t="n">
        <v>1354</v>
      </c>
      <c r="G134" s="5" t="n">
        <v>1379</v>
      </c>
      <c r="H134" s="5" t="n">
        <v>1392</v>
      </c>
      <c r="I134" s="5" t="n">
        <v>1414</v>
      </c>
      <c r="J134" s="6">
        <f>I134-D134</f>
        <v/>
      </c>
      <c r="K134" s="7">
        <f>(I134-D134)/D134</f>
        <v/>
      </c>
      <c r="L134" s="7">
        <f>(I134/D134)^(1/5)-1</f>
        <v/>
      </c>
      <c r="M134" s="7">
        <f>(G134-D134)/D134</f>
        <v/>
      </c>
      <c r="N134" s="7">
        <f>(I134-G134)/G134</f>
        <v/>
      </c>
      <c r="O134" s="8" t="inlineStr">
        <is>
          <t>Alto (5-12%)</t>
        </is>
      </c>
    </row>
    <row r="135">
      <c r="A135" s="4" t="inlineStr">
        <is>
          <t>28147</t>
        </is>
      </c>
      <c r="B135" s="4" t="inlineStr">
        <is>
          <t>Titulcia</t>
        </is>
      </c>
      <c r="C135" s="4" t="inlineStr">
        <is>
          <t>Sureste (A-3)</t>
        </is>
      </c>
      <c r="D135" s="5" t="n">
        <v>1341</v>
      </c>
      <c r="E135" s="5" t="n">
        <v>1360</v>
      </c>
      <c r="F135" s="5" t="n">
        <v>1336</v>
      </c>
      <c r="G135" s="5" t="n">
        <v>1362</v>
      </c>
      <c r="H135" s="5" t="n">
        <v>1387</v>
      </c>
      <c r="I135" s="5" t="n">
        <v>1389</v>
      </c>
      <c r="J135" s="6">
        <f>I135-D135</f>
        <v/>
      </c>
      <c r="K135" s="7">
        <f>(I135-D135)/D135</f>
        <v/>
      </c>
      <c r="L135" s="7">
        <f>(I135/D135)^(1/5)-1</f>
        <v/>
      </c>
      <c r="M135" s="7">
        <f>(G135-D135)/D135</f>
        <v/>
      </c>
      <c r="N135" s="7">
        <f>(I135-G135)/G135</f>
        <v/>
      </c>
      <c r="O135" s="9" t="inlineStr">
        <is>
          <t>Moderado (2-5%)</t>
        </is>
      </c>
    </row>
    <row r="136">
      <c r="A136" s="4" t="inlineStr">
        <is>
          <t>28116</t>
        </is>
      </c>
      <c r="B136" s="4" t="inlineStr">
        <is>
          <t>Pozuelo del Rey</t>
        </is>
      </c>
      <c r="C136" s="4" t="inlineStr">
        <is>
          <t>Sureste (A-3)</t>
        </is>
      </c>
      <c r="D136" s="5" t="n">
        <v>1172</v>
      </c>
      <c r="E136" s="5" t="n">
        <v>1190</v>
      </c>
      <c r="F136" s="5" t="n">
        <v>1178</v>
      </c>
      <c r="G136" s="5" t="n">
        <v>1254</v>
      </c>
      <c r="H136" s="5" t="n">
        <v>1292</v>
      </c>
      <c r="I136" s="5" t="n">
        <v>1302</v>
      </c>
      <c r="J136" s="6">
        <f>I136-D136</f>
        <v/>
      </c>
      <c r="K136" s="7">
        <f>(I136-D136)/D136</f>
        <v/>
      </c>
      <c r="L136" s="7">
        <f>(I136/D136)^(1/5)-1</f>
        <v/>
      </c>
      <c r="M136" s="7">
        <f>(G136-D136)/D136</f>
        <v/>
      </c>
      <c r="N136" s="7">
        <f>(I136-G136)/G136</f>
        <v/>
      </c>
      <c r="O136" s="8" t="inlineStr">
        <is>
          <t>Alto (5-12%)</t>
        </is>
      </c>
    </row>
    <row r="137">
      <c r="A137" s="4" t="inlineStr">
        <is>
          <t>28153</t>
        </is>
      </c>
      <c r="B137" s="4" t="inlineStr">
        <is>
          <t>Torremocha de Jarama</t>
        </is>
      </c>
      <c r="C137" s="4" t="inlineStr">
        <is>
          <t>Sierra Norte / Rural</t>
        </is>
      </c>
      <c r="D137" s="5" t="n">
        <v>1075</v>
      </c>
      <c r="E137" s="5" t="n">
        <v>1079</v>
      </c>
      <c r="F137" s="5" t="n">
        <v>1097</v>
      </c>
      <c r="G137" s="5" t="n">
        <v>1144</v>
      </c>
      <c r="H137" s="5" t="n">
        <v>1132</v>
      </c>
      <c r="I137" s="5" t="n">
        <v>1157</v>
      </c>
      <c r="J137" s="6">
        <f>I137-D137</f>
        <v/>
      </c>
      <c r="K137" s="7">
        <f>(I137-D137)/D137</f>
        <v/>
      </c>
      <c r="L137" s="7">
        <f>(I137/D137)^(1/5)-1</f>
        <v/>
      </c>
      <c r="M137" s="7">
        <f>(G137-D137)/D137</f>
        <v/>
      </c>
      <c r="N137" s="7">
        <f>(I137-G137)/G137</f>
        <v/>
      </c>
      <c r="O137" s="8" t="inlineStr">
        <is>
          <t>Alto (5-12%)</t>
        </is>
      </c>
    </row>
    <row r="138">
      <c r="A138" s="4" t="inlineStr">
        <is>
          <t>28157</t>
        </is>
      </c>
      <c r="B138" s="4" t="inlineStr">
        <is>
          <t>Valdelaguna</t>
        </is>
      </c>
      <c r="C138" s="4" t="inlineStr">
        <is>
          <t>Sureste (A-3)</t>
        </is>
      </c>
      <c r="D138" s="5" t="n">
        <v>979</v>
      </c>
      <c r="E138" s="5" t="n">
        <v>1026</v>
      </c>
      <c r="F138" s="5" t="n">
        <v>1016</v>
      </c>
      <c r="G138" s="5" t="n">
        <v>1045</v>
      </c>
      <c r="H138" s="5" t="n">
        <v>1094</v>
      </c>
      <c r="I138" s="5" t="n">
        <v>1122</v>
      </c>
      <c r="J138" s="6">
        <f>I138-D138</f>
        <v/>
      </c>
      <c r="K138" s="7">
        <f>(I138-D138)/D138</f>
        <v/>
      </c>
      <c r="L138" s="7">
        <f>(I138/D138)^(1/5)-1</f>
        <v/>
      </c>
      <c r="M138" s="7">
        <f>(G138-D138)/D138</f>
        <v/>
      </c>
      <c r="N138" s="7">
        <f>(I138-G138)/G138</f>
        <v/>
      </c>
      <c r="O138" s="12" t="inlineStr">
        <is>
          <t>Fuerte (+12%)</t>
        </is>
      </c>
    </row>
    <row r="139">
      <c r="A139" s="4" t="inlineStr">
        <is>
          <t>28158</t>
        </is>
      </c>
      <c r="B139" s="4" t="inlineStr">
        <is>
          <t>Valdemanco</t>
        </is>
      </c>
      <c r="C139" s="4" t="inlineStr">
        <is>
          <t>Sierra Norte / Rural</t>
        </is>
      </c>
      <c r="D139" s="5" t="n">
        <v>963</v>
      </c>
      <c r="E139" s="5" t="n">
        <v>1012</v>
      </c>
      <c r="F139" s="5" t="n">
        <v>1033</v>
      </c>
      <c r="G139" s="5" t="n">
        <v>1066</v>
      </c>
      <c r="H139" s="5" t="n">
        <v>1052</v>
      </c>
      <c r="I139" s="5" t="n">
        <v>1097</v>
      </c>
      <c r="J139" s="6">
        <f>I139-D139</f>
        <v/>
      </c>
      <c r="K139" s="7">
        <f>(I139-D139)/D139</f>
        <v/>
      </c>
      <c r="L139" s="7">
        <f>(I139/D139)^(1/5)-1</f>
        <v/>
      </c>
      <c r="M139" s="7">
        <f>(G139-D139)/D139</f>
        <v/>
      </c>
      <c r="N139" s="7">
        <f>(I139-G139)/G139</f>
        <v/>
      </c>
      <c r="O139" s="12" t="inlineStr">
        <is>
          <t>Fuerte (+12%)</t>
        </is>
      </c>
    </row>
    <row r="140">
      <c r="A140" s="4" t="inlineStr">
        <is>
          <t>28136</t>
        </is>
      </c>
      <c r="B140" s="4" t="inlineStr">
        <is>
          <t>Santorcaz</t>
        </is>
      </c>
      <c r="C140" s="4" t="inlineStr">
        <is>
          <t>Henares (E)</t>
        </is>
      </c>
      <c r="D140" s="5" t="n">
        <v>899</v>
      </c>
      <c r="E140" s="5" t="n">
        <v>925</v>
      </c>
      <c r="F140" s="5" t="n">
        <v>941</v>
      </c>
      <c r="G140" s="5" t="n">
        <v>942</v>
      </c>
      <c r="H140" s="5" t="n">
        <v>999</v>
      </c>
      <c r="I140" s="5" t="n">
        <v>1011</v>
      </c>
      <c r="J140" s="6">
        <f>I140-D140</f>
        <v/>
      </c>
      <c r="K140" s="7">
        <f>(I140-D140)/D140</f>
        <v/>
      </c>
      <c r="L140" s="7">
        <f>(I140/D140)^(1/5)-1</f>
        <v/>
      </c>
      <c r="M140" s="7">
        <f>(G140-D140)/D140</f>
        <v/>
      </c>
      <c r="N140" s="7">
        <f>(I140-G140)/G140</f>
        <v/>
      </c>
      <c r="O140" s="12" t="inlineStr">
        <is>
          <t>Fuerte (+12%)</t>
        </is>
      </c>
    </row>
    <row r="141">
      <c r="A141" s="4" t="inlineStr">
        <is>
          <t>28111</t>
        </is>
      </c>
      <c r="B141" s="4" t="inlineStr">
        <is>
          <t>Pezuela de las Torres</t>
        </is>
      </c>
      <c r="C141" s="4" t="inlineStr">
        <is>
          <t>Henares (E)</t>
        </is>
      </c>
      <c r="D141" s="5" t="n">
        <v>867</v>
      </c>
      <c r="E141" s="5" t="n">
        <v>927</v>
      </c>
      <c r="F141" s="5" t="n">
        <v>931</v>
      </c>
      <c r="G141" s="5" t="n">
        <v>977</v>
      </c>
      <c r="H141" s="5" t="n">
        <v>989</v>
      </c>
      <c r="I141" s="5" t="n">
        <v>1008</v>
      </c>
      <c r="J141" s="6">
        <f>I141-D141</f>
        <v/>
      </c>
      <c r="K141" s="7">
        <f>(I141-D141)/D141</f>
        <v/>
      </c>
      <c r="L141" s="7">
        <f>(I141/D141)^(1/5)-1</f>
        <v/>
      </c>
      <c r="M141" s="7">
        <f>(G141-D141)/D141</f>
        <v/>
      </c>
      <c r="N141" s="7">
        <f>(I141-G141)/G141</f>
        <v/>
      </c>
      <c r="O141" s="12" t="inlineStr">
        <is>
          <t>Fuerte (+12%)</t>
        </is>
      </c>
    </row>
    <row r="142">
      <c r="A142" s="4" t="inlineStr">
        <is>
          <t>28029</t>
        </is>
      </c>
      <c r="B142" s="4" t="inlineStr">
        <is>
          <t>Cabanillas de la Sierra</t>
        </is>
      </c>
      <c r="C142" s="4" t="inlineStr">
        <is>
          <t>Norte (A-1)</t>
        </is>
      </c>
      <c r="D142" s="5" t="n">
        <v>785</v>
      </c>
      <c r="E142" s="5" t="n">
        <v>837</v>
      </c>
      <c r="F142" s="5" t="n">
        <v>874</v>
      </c>
      <c r="G142" s="5" t="n">
        <v>939</v>
      </c>
      <c r="H142" s="5" t="n">
        <v>941</v>
      </c>
      <c r="I142" s="5" t="n">
        <v>961</v>
      </c>
      <c r="J142" s="6">
        <f>I142-D142</f>
        <v/>
      </c>
      <c r="K142" s="7">
        <f>(I142-D142)/D142</f>
        <v/>
      </c>
      <c r="L142" s="7">
        <f>(I142/D142)^(1/5)-1</f>
        <v/>
      </c>
      <c r="M142" s="7">
        <f>(G142-D142)/D142</f>
        <v/>
      </c>
      <c r="N142" s="7">
        <f>(I142-G142)/G142</f>
        <v/>
      </c>
      <c r="O142" s="12" t="inlineStr">
        <is>
          <t>Fuerte (+12%)</t>
        </is>
      </c>
    </row>
    <row r="143">
      <c r="A143" s="4" t="inlineStr">
        <is>
          <t>28122</t>
        </is>
      </c>
      <c r="B143" s="4" t="inlineStr">
        <is>
          <t>Ribatejada</t>
        </is>
      </c>
      <c r="C143" s="4" t="inlineStr">
        <is>
          <t>Henares (E)</t>
        </is>
      </c>
      <c r="D143" s="5" t="n">
        <v>801</v>
      </c>
      <c r="E143" s="5" t="n">
        <v>863</v>
      </c>
      <c r="F143" s="5" t="n">
        <v>871</v>
      </c>
      <c r="G143" s="5" t="n">
        <v>912</v>
      </c>
      <c r="H143" s="5" t="n">
        <v>900</v>
      </c>
      <c r="I143" s="5" t="n">
        <v>905</v>
      </c>
      <c r="J143" s="6">
        <f>I143-D143</f>
        <v/>
      </c>
      <c r="K143" s="7">
        <f>(I143-D143)/D143</f>
        <v/>
      </c>
      <c r="L143" s="7">
        <f>(I143/D143)^(1/5)-1</f>
        <v/>
      </c>
      <c r="M143" s="7">
        <f>(G143-D143)/D143</f>
        <v/>
      </c>
      <c r="N143" s="7">
        <f>(I143-G143)/G143</f>
        <v/>
      </c>
      <c r="O143" s="12" t="inlineStr">
        <is>
          <t>Fuerte (+12%)</t>
        </is>
      </c>
    </row>
    <row r="144">
      <c r="A144" s="4" t="inlineStr">
        <is>
          <t>28159</t>
        </is>
      </c>
      <c r="B144" s="4" t="inlineStr">
        <is>
          <t>Valdemaqueda</t>
        </is>
      </c>
      <c r="C144" s="4" t="inlineStr">
        <is>
          <t>Noroeste (A-6)</t>
        </is>
      </c>
      <c r="D144" s="5" t="n">
        <v>775</v>
      </c>
      <c r="E144" s="5" t="n">
        <v>789</v>
      </c>
      <c r="F144" s="5" t="n">
        <v>798</v>
      </c>
      <c r="G144" s="5" t="n">
        <v>820</v>
      </c>
      <c r="H144" s="5" t="n">
        <v>833</v>
      </c>
      <c r="I144" s="5" t="n">
        <v>870</v>
      </c>
      <c r="J144" s="6">
        <f>I144-D144</f>
        <v/>
      </c>
      <c r="K144" s="7">
        <f>(I144-D144)/D144</f>
        <v/>
      </c>
      <c r="L144" s="7">
        <f>(I144/D144)^(1/5)-1</f>
        <v/>
      </c>
      <c r="M144" s="7">
        <f>(G144-D144)/D144</f>
        <v/>
      </c>
      <c r="N144" s="7">
        <f>(I144-G144)/G144</f>
        <v/>
      </c>
      <c r="O144" s="12" t="inlineStr">
        <is>
          <t>Fuerte (+12%)</t>
        </is>
      </c>
    </row>
    <row r="145">
      <c r="A145" s="4" t="inlineStr">
        <is>
          <t>28173</t>
        </is>
      </c>
      <c r="B145" s="4" t="inlineStr">
        <is>
          <t>Villamanrique de Tajo</t>
        </is>
      </c>
      <c r="C145" s="4" t="inlineStr">
        <is>
          <t>Sureste (A-3)</t>
        </is>
      </c>
      <c r="D145" s="5" t="n">
        <v>707</v>
      </c>
      <c r="E145" s="5" t="n">
        <v>762</v>
      </c>
      <c r="F145" s="5" t="n">
        <v>757</v>
      </c>
      <c r="G145" s="5" t="n">
        <v>800</v>
      </c>
      <c r="H145" s="5" t="n">
        <v>825</v>
      </c>
      <c r="I145" s="5" t="n">
        <v>859</v>
      </c>
      <c r="J145" s="6">
        <f>I145-D145</f>
        <v/>
      </c>
      <c r="K145" s="7">
        <f>(I145-D145)/D145</f>
        <v/>
      </c>
      <c r="L145" s="7">
        <f>(I145/D145)^(1/5)-1</f>
        <v/>
      </c>
      <c r="M145" s="7">
        <f>(G145-D145)/D145</f>
        <v/>
      </c>
      <c r="N145" s="7">
        <f>(I145-G145)/G145</f>
        <v/>
      </c>
      <c r="O145" s="12" t="inlineStr">
        <is>
          <t>Fuerte (+12%)</t>
        </is>
      </c>
    </row>
    <row r="146">
      <c r="A146" s="4" t="inlineStr">
        <is>
          <t>28048</t>
        </is>
      </c>
      <c r="B146" s="4" t="inlineStr">
        <is>
          <t>Corpa</t>
        </is>
      </c>
      <c r="C146" s="4" t="inlineStr">
        <is>
          <t>Henares (E)</t>
        </is>
      </c>
      <c r="D146" s="5" t="n">
        <v>723</v>
      </c>
      <c r="E146" s="5" t="n">
        <v>742</v>
      </c>
      <c r="F146" s="5" t="n">
        <v>764</v>
      </c>
      <c r="G146" s="5" t="n">
        <v>798</v>
      </c>
      <c r="H146" s="5" t="n">
        <v>792</v>
      </c>
      <c r="I146" s="5" t="n">
        <v>832</v>
      </c>
      <c r="J146" s="6">
        <f>I146-D146</f>
        <v/>
      </c>
      <c r="K146" s="7">
        <f>(I146-D146)/D146</f>
        <v/>
      </c>
      <c r="L146" s="7">
        <f>(I146/D146)^(1/5)-1</f>
        <v/>
      </c>
      <c r="M146" s="7">
        <f>(G146-D146)/D146</f>
        <v/>
      </c>
      <c r="N146" s="7">
        <f>(I146-G146)/G146</f>
        <v/>
      </c>
      <c r="O146" s="12" t="inlineStr">
        <is>
          <t>Fuerte (+12%)</t>
        </is>
      </c>
    </row>
    <row r="147">
      <c r="A147" s="4" t="inlineStr">
        <is>
          <t>28021</t>
        </is>
      </c>
      <c r="B147" s="4" t="inlineStr">
        <is>
          <t>Berrueco, El</t>
        </is>
      </c>
      <c r="C147" s="4" t="inlineStr">
        <is>
          <t>Sierra Norte / Rural</t>
        </is>
      </c>
      <c r="D147" s="5" t="n">
        <v>777</v>
      </c>
      <c r="E147" s="5" t="n">
        <v>796</v>
      </c>
      <c r="F147" s="5" t="n">
        <v>801</v>
      </c>
      <c r="G147" s="5" t="n">
        <v>802</v>
      </c>
      <c r="H147" s="5" t="n">
        <v>816</v>
      </c>
      <c r="I147" s="5" t="n">
        <v>795</v>
      </c>
      <c r="J147" s="6">
        <f>I147-D147</f>
        <v/>
      </c>
      <c r="K147" s="7">
        <f>(I147-D147)/D147</f>
        <v/>
      </c>
      <c r="L147" s="7">
        <f>(I147/D147)^(1/5)-1</f>
        <v/>
      </c>
      <c r="M147" s="7">
        <f>(G147-D147)/D147</f>
        <v/>
      </c>
      <c r="N147" s="7">
        <f>(I147-G147)/G147</f>
        <v/>
      </c>
      <c r="O147" s="9" t="inlineStr">
        <is>
          <t>Moderado (2-5%)</t>
        </is>
      </c>
    </row>
    <row r="148">
      <c r="A148" s="4" t="inlineStr">
        <is>
          <t>28902</t>
        </is>
      </c>
      <c r="B148" s="4" t="inlineStr">
        <is>
          <t>Puentes Viejas</t>
        </is>
      </c>
      <c r="C148" s="4" t="inlineStr">
        <is>
          <t>Sierra Norte / Rural</t>
        </is>
      </c>
      <c r="D148" s="5" t="n">
        <v>699</v>
      </c>
      <c r="E148" s="5" t="n">
        <v>719</v>
      </c>
      <c r="F148" s="5" t="n">
        <v>697</v>
      </c>
      <c r="G148" s="5" t="n">
        <v>760</v>
      </c>
      <c r="H148" s="5" t="n">
        <v>775</v>
      </c>
      <c r="I148" s="5" t="n">
        <v>759</v>
      </c>
      <c r="J148" s="6">
        <f>I148-D148</f>
        <v/>
      </c>
      <c r="K148" s="7">
        <f>(I148-D148)/D148</f>
        <v/>
      </c>
      <c r="L148" s="7">
        <f>(I148/D148)^(1/5)-1</f>
        <v/>
      </c>
      <c r="M148" s="7">
        <f>(G148-D148)/D148</f>
        <v/>
      </c>
      <c r="N148" s="7">
        <f>(I148-G148)/G148</f>
        <v/>
      </c>
      <c r="O148" s="8" t="inlineStr">
        <is>
          <t>Alto (5-12%)</t>
        </is>
      </c>
    </row>
    <row r="149">
      <c r="A149" s="4" t="inlineStr">
        <is>
          <t>28011</t>
        </is>
      </c>
      <c r="B149" s="4" t="inlineStr">
        <is>
          <t>Ambite</t>
        </is>
      </c>
      <c r="C149" s="4" t="inlineStr">
        <is>
          <t>Sureste (A-3)</t>
        </is>
      </c>
      <c r="D149" s="5" t="n">
        <v>609</v>
      </c>
      <c r="E149" s="5" t="n">
        <v>662</v>
      </c>
      <c r="F149" s="5" t="n">
        <v>648</v>
      </c>
      <c r="G149" s="5" t="n">
        <v>684</v>
      </c>
      <c r="H149" s="5" t="n">
        <v>697</v>
      </c>
      <c r="I149" s="5" t="n">
        <v>732</v>
      </c>
      <c r="J149" s="6">
        <f>I149-D149</f>
        <v/>
      </c>
      <c r="K149" s="7">
        <f>(I149-D149)/D149</f>
        <v/>
      </c>
      <c r="L149" s="7">
        <f>(I149/D149)^(1/5)-1</f>
        <v/>
      </c>
      <c r="M149" s="7">
        <f>(G149-D149)/D149</f>
        <v/>
      </c>
      <c r="N149" s="7">
        <f>(I149-G149)/G149</f>
        <v/>
      </c>
      <c r="O149" s="12" t="inlineStr">
        <is>
          <t>Fuerte (+12%)</t>
        </is>
      </c>
    </row>
    <row r="150">
      <c r="A150" s="4" t="inlineStr">
        <is>
          <t>28155</t>
        </is>
      </c>
      <c r="B150" s="4" t="inlineStr">
        <is>
          <t>Valdaracete</t>
        </is>
      </c>
      <c r="C150" s="4" t="inlineStr">
        <is>
          <t>Sureste (A-3)</t>
        </is>
      </c>
      <c r="D150" s="5" t="n">
        <v>605</v>
      </c>
      <c r="E150" s="5" t="n">
        <v>612</v>
      </c>
      <c r="F150" s="5" t="n">
        <v>627</v>
      </c>
      <c r="G150" s="5" t="n">
        <v>633</v>
      </c>
      <c r="H150" s="5" t="n">
        <v>645</v>
      </c>
      <c r="I150" s="5" t="n">
        <v>658</v>
      </c>
      <c r="J150" s="6">
        <f>I150-D150</f>
        <v/>
      </c>
      <c r="K150" s="7">
        <f>(I150-D150)/D150</f>
        <v/>
      </c>
      <c r="L150" s="7">
        <f>(I150/D150)^(1/5)-1</f>
        <v/>
      </c>
      <c r="M150" s="7">
        <f>(G150-D150)/D150</f>
        <v/>
      </c>
      <c r="N150" s="7">
        <f>(I150-G150)/G150</f>
        <v/>
      </c>
      <c r="O150" s="8" t="inlineStr">
        <is>
          <t>Alto (5-12%)</t>
        </is>
      </c>
    </row>
    <row r="151">
      <c r="A151" s="4" t="inlineStr">
        <is>
          <t>28107</t>
        </is>
      </c>
      <c r="B151" s="4" t="inlineStr">
        <is>
          <t>Patones</t>
        </is>
      </c>
      <c r="C151" s="4" t="inlineStr">
        <is>
          <t>Sierra Norte / Rural</t>
        </is>
      </c>
      <c r="D151" s="5" t="n">
        <v>539</v>
      </c>
      <c r="E151" s="5" t="n">
        <v>524</v>
      </c>
      <c r="F151" s="5" t="n">
        <v>536</v>
      </c>
      <c r="G151" s="5" t="n">
        <v>566</v>
      </c>
      <c r="H151" s="5" t="n">
        <v>602</v>
      </c>
      <c r="I151" s="5" t="n">
        <v>617</v>
      </c>
      <c r="J151" s="6">
        <f>I151-D151</f>
        <v/>
      </c>
      <c r="K151" s="7">
        <f>(I151-D151)/D151</f>
        <v/>
      </c>
      <c r="L151" s="7">
        <f>(I151/D151)^(1/5)-1</f>
        <v/>
      </c>
      <c r="M151" s="7">
        <f>(G151-D151)/D151</f>
        <v/>
      </c>
      <c r="N151" s="7">
        <f>(I151-G151)/G151</f>
        <v/>
      </c>
      <c r="O151" s="12" t="inlineStr">
        <is>
          <t>Fuerte (+12%)</t>
        </is>
      </c>
    </row>
    <row r="152">
      <c r="A152" s="4" t="inlineStr">
        <is>
          <t>28163</t>
        </is>
      </c>
      <c r="B152" s="4" t="inlineStr">
        <is>
          <t>Valdepiélagos</t>
        </is>
      </c>
      <c r="C152" s="4" t="inlineStr">
        <is>
          <t>Norte (A-1)</t>
        </is>
      </c>
      <c r="D152" s="5" t="n">
        <v>614</v>
      </c>
      <c r="E152" s="5" t="n">
        <v>612</v>
      </c>
      <c r="F152" s="5" t="n">
        <v>621</v>
      </c>
      <c r="G152" s="5" t="n">
        <v>623</v>
      </c>
      <c r="H152" s="5" t="n">
        <v>619</v>
      </c>
      <c r="I152" s="5" t="n">
        <v>612</v>
      </c>
      <c r="J152" s="6">
        <f>I152-D152</f>
        <v/>
      </c>
      <c r="K152" s="7">
        <f>(I152-D152)/D152</f>
        <v/>
      </c>
      <c r="L152" s="7">
        <f>(I152/D152)^(1/5)-1</f>
        <v/>
      </c>
      <c r="M152" s="7">
        <f>(G152-D152)/D152</f>
        <v/>
      </c>
      <c r="N152" s="7">
        <f>(I152-G152)/G152</f>
        <v/>
      </c>
      <c r="O152" s="11" t="inlineStr">
        <is>
          <t>Estable (±)</t>
        </is>
      </c>
    </row>
    <row r="153">
      <c r="A153" s="4" t="inlineStr">
        <is>
          <t>28076</t>
        </is>
      </c>
      <c r="B153" s="4" t="inlineStr">
        <is>
          <t>Lozoya</t>
        </is>
      </c>
      <c r="C153" s="4" t="inlineStr">
        <is>
          <t>Sierra Norte / Rural</t>
        </is>
      </c>
      <c r="D153" s="5" t="n">
        <v>580</v>
      </c>
      <c r="E153" s="5" t="n">
        <v>593</v>
      </c>
      <c r="F153" s="5" t="n">
        <v>602</v>
      </c>
      <c r="G153" s="5" t="n">
        <v>621</v>
      </c>
      <c r="H153" s="5" t="n">
        <v>617</v>
      </c>
      <c r="I153" s="5" t="n">
        <v>598</v>
      </c>
      <c r="J153" s="6">
        <f>I153-D153</f>
        <v/>
      </c>
      <c r="K153" s="7">
        <f>(I153-D153)/D153</f>
        <v/>
      </c>
      <c r="L153" s="7">
        <f>(I153/D153)^(1/5)-1</f>
        <v/>
      </c>
      <c r="M153" s="7">
        <f>(G153-D153)/D153</f>
        <v/>
      </c>
      <c r="N153" s="7">
        <f>(I153-G153)/G153</f>
        <v/>
      </c>
      <c r="O153" s="9" t="inlineStr">
        <is>
          <t>Moderado (2-5%)</t>
        </is>
      </c>
    </row>
    <row r="154">
      <c r="A154" s="4" t="inlineStr">
        <is>
          <t>28128</t>
        </is>
      </c>
      <c r="B154" s="4" t="inlineStr">
        <is>
          <t>Rozas de Puerto Real</t>
        </is>
      </c>
      <c r="C154" s="4" t="inlineStr">
        <is>
          <t>Sur-Sierra Oeste</t>
        </is>
      </c>
      <c r="D154" s="5" t="n">
        <v>555</v>
      </c>
      <c r="E154" s="5" t="n">
        <v>590</v>
      </c>
      <c r="F154" s="5" t="n">
        <v>577</v>
      </c>
      <c r="G154" s="5" t="n">
        <v>578</v>
      </c>
      <c r="H154" s="5" t="n">
        <v>580</v>
      </c>
      <c r="I154" s="5" t="n">
        <v>579</v>
      </c>
      <c r="J154" s="6">
        <f>I154-D154</f>
        <v/>
      </c>
      <c r="K154" s="7">
        <f>(I154-D154)/D154</f>
        <v/>
      </c>
      <c r="L154" s="7">
        <f>(I154/D154)^(1/5)-1</f>
        <v/>
      </c>
      <c r="M154" s="7">
        <f>(G154-D154)/D154</f>
        <v/>
      </c>
      <c r="N154" s="7">
        <f>(I154-G154)/G154</f>
        <v/>
      </c>
      <c r="O154" s="9" t="inlineStr">
        <is>
          <t>Moderado (2-5%)</t>
        </is>
      </c>
    </row>
    <row r="155">
      <c r="A155" s="4" t="inlineStr">
        <is>
          <t>28025</t>
        </is>
      </c>
      <c r="B155" s="4" t="inlineStr">
        <is>
          <t>Brea de Tajo</t>
        </is>
      </c>
      <c r="C155" s="4" t="inlineStr">
        <is>
          <t>Sureste (A-3)</t>
        </is>
      </c>
      <c r="D155" s="5" t="n">
        <v>506</v>
      </c>
      <c r="E155" s="5" t="n">
        <v>523</v>
      </c>
      <c r="F155" s="5" t="n">
        <v>541</v>
      </c>
      <c r="G155" s="5" t="n">
        <v>543</v>
      </c>
      <c r="H155" s="5" t="n">
        <v>579</v>
      </c>
      <c r="I155" s="5" t="n">
        <v>577</v>
      </c>
      <c r="J155" s="6">
        <f>I155-D155</f>
        <v/>
      </c>
      <c r="K155" s="7">
        <f>(I155-D155)/D155</f>
        <v/>
      </c>
      <c r="L155" s="7">
        <f>(I155/D155)^(1/5)-1</f>
        <v/>
      </c>
      <c r="M155" s="7">
        <f>(G155-D155)/D155</f>
        <v/>
      </c>
      <c r="N155" s="7">
        <f>(I155-G155)/G155</f>
        <v/>
      </c>
      <c r="O155" s="12" t="inlineStr">
        <is>
          <t>Fuerte (+12%)</t>
        </is>
      </c>
    </row>
    <row r="156">
      <c r="A156" s="4" t="inlineStr">
        <is>
          <t>28166</t>
        </is>
      </c>
      <c r="B156" s="4" t="inlineStr">
        <is>
          <t>Valverde de Alcalá</t>
        </is>
      </c>
      <c r="C156" s="4" t="inlineStr">
        <is>
          <t>Henares (E)</t>
        </is>
      </c>
      <c r="D156" s="5" t="n">
        <v>498</v>
      </c>
      <c r="E156" s="5" t="n">
        <v>518</v>
      </c>
      <c r="F156" s="5" t="n">
        <v>532</v>
      </c>
      <c r="G156" s="5" t="n">
        <v>535</v>
      </c>
      <c r="H156" s="5" t="n">
        <v>553</v>
      </c>
      <c r="I156" s="5" t="n">
        <v>565</v>
      </c>
      <c r="J156" s="6">
        <f>I156-D156</f>
        <v/>
      </c>
      <c r="K156" s="7">
        <f>(I156-D156)/D156</f>
        <v/>
      </c>
      <c r="L156" s="7">
        <f>(I156/D156)^(1/5)-1</f>
        <v/>
      </c>
      <c r="M156" s="7">
        <f>(G156-D156)/D156</f>
        <v/>
      </c>
      <c r="N156" s="7">
        <f>(I156-G156)/G156</f>
        <v/>
      </c>
      <c r="O156" s="12" t="inlineStr">
        <is>
          <t>Fuerte (+12%)</t>
        </is>
      </c>
    </row>
    <row r="157">
      <c r="A157" s="4" t="inlineStr">
        <is>
          <t>28034</t>
        </is>
      </c>
      <c r="B157" s="4" t="inlineStr">
        <is>
          <t>Canencia</t>
        </is>
      </c>
      <c r="C157" s="4" t="inlineStr">
        <is>
          <t>Sierra Norte / Rural</t>
        </is>
      </c>
      <c r="D157" s="5" t="n">
        <v>447</v>
      </c>
      <c r="E157" s="5" t="n">
        <v>461</v>
      </c>
      <c r="F157" s="5" t="n">
        <v>455</v>
      </c>
      <c r="G157" s="5" t="n">
        <v>460</v>
      </c>
      <c r="H157" s="5" t="n">
        <v>469</v>
      </c>
      <c r="I157" s="5" t="n">
        <v>475</v>
      </c>
      <c r="J157" s="6">
        <f>I157-D157</f>
        <v/>
      </c>
      <c r="K157" s="7">
        <f>(I157-D157)/D157</f>
        <v/>
      </c>
      <c r="L157" s="7">
        <f>(I157/D157)^(1/5)-1</f>
        <v/>
      </c>
      <c r="M157" s="7">
        <f>(G157-D157)/D157</f>
        <v/>
      </c>
      <c r="N157" s="7">
        <f>(I157-G157)/G157</f>
        <v/>
      </c>
      <c r="O157" s="8" t="inlineStr">
        <is>
          <t>Alto (5-12%)</t>
        </is>
      </c>
    </row>
    <row r="158">
      <c r="A158" s="4" t="inlineStr">
        <is>
          <t>28062</t>
        </is>
      </c>
      <c r="B158" s="4" t="inlineStr">
        <is>
          <t>Garganta de los Montes</t>
        </is>
      </c>
      <c r="C158" s="4" t="inlineStr">
        <is>
          <t>Sierra Norte / Rural</t>
        </is>
      </c>
      <c r="D158" s="5" t="n">
        <v>377</v>
      </c>
      <c r="E158" s="5" t="n">
        <v>411</v>
      </c>
      <c r="F158" s="5" t="n">
        <v>395</v>
      </c>
      <c r="G158" s="5" t="n">
        <v>420</v>
      </c>
      <c r="H158" s="5" t="n">
        <v>416</v>
      </c>
      <c r="I158" s="5" t="n">
        <v>441</v>
      </c>
      <c r="J158" s="6">
        <f>I158-D158</f>
        <v/>
      </c>
      <c r="K158" s="7">
        <f>(I158-D158)/D158</f>
        <v/>
      </c>
      <c r="L158" s="7">
        <f>(I158/D158)^(1/5)-1</f>
        <v/>
      </c>
      <c r="M158" s="7">
        <f>(G158-D158)/D158</f>
        <v/>
      </c>
      <c r="N158" s="7">
        <f>(I158-G158)/G158</f>
        <v/>
      </c>
      <c r="O158" s="12" t="inlineStr">
        <is>
          <t>Fuerte (+12%)</t>
        </is>
      </c>
    </row>
    <row r="159">
      <c r="A159" s="4" t="inlineStr">
        <is>
          <t>28101</t>
        </is>
      </c>
      <c r="B159" s="4" t="inlineStr">
        <is>
          <t>Olmeda de las Fuentes</t>
        </is>
      </c>
      <c r="C159" s="4" t="inlineStr">
        <is>
          <t>Sureste (A-3)</t>
        </is>
      </c>
      <c r="D159" s="5" t="n">
        <v>346</v>
      </c>
      <c r="E159" s="5" t="n">
        <v>357</v>
      </c>
      <c r="F159" s="5" t="n">
        <v>376</v>
      </c>
      <c r="G159" s="5" t="n">
        <v>402</v>
      </c>
      <c r="H159" s="5" t="n">
        <v>408</v>
      </c>
      <c r="I159" s="5" t="n">
        <v>429</v>
      </c>
      <c r="J159" s="6">
        <f>I159-D159</f>
        <v/>
      </c>
      <c r="K159" s="7">
        <f>(I159-D159)/D159</f>
        <v/>
      </c>
      <c r="L159" s="7">
        <f>(I159/D159)^(1/5)-1</f>
        <v/>
      </c>
      <c r="M159" s="7">
        <f>(G159-D159)/D159</f>
        <v/>
      </c>
      <c r="N159" s="7">
        <f>(I159-G159)/G159</f>
        <v/>
      </c>
      <c r="O159" s="12" t="inlineStr">
        <is>
          <t>Fuerte (+12%)</t>
        </is>
      </c>
    </row>
    <row r="160">
      <c r="A160" s="4" t="inlineStr">
        <is>
          <t>28088</t>
        </is>
      </c>
      <c r="B160" s="4" t="inlineStr">
        <is>
          <t>Montejo de la Sierra</t>
        </is>
      </c>
      <c r="C160" s="4" t="inlineStr">
        <is>
          <t>Sierra Norte / Rural</t>
        </is>
      </c>
      <c r="D160" s="5" t="n">
        <v>364</v>
      </c>
      <c r="E160" s="5" t="n">
        <v>365</v>
      </c>
      <c r="F160" s="5" t="n">
        <v>372</v>
      </c>
      <c r="G160" s="5" t="n">
        <v>381</v>
      </c>
      <c r="H160" s="5" t="n">
        <v>374</v>
      </c>
      <c r="I160" s="5" t="n">
        <v>404</v>
      </c>
      <c r="J160" s="6">
        <f>I160-D160</f>
        <v/>
      </c>
      <c r="K160" s="7">
        <f>(I160-D160)/D160</f>
        <v/>
      </c>
      <c r="L160" s="7">
        <f>(I160/D160)^(1/5)-1</f>
        <v/>
      </c>
      <c r="M160" s="7">
        <f>(G160-D160)/D160</f>
        <v/>
      </c>
      <c r="N160" s="7">
        <f>(I160-G160)/G160</f>
        <v/>
      </c>
      <c r="O160" s="8" t="inlineStr">
        <is>
          <t>Alto (5-12%)</t>
        </is>
      </c>
    </row>
    <row r="161">
      <c r="A161" s="4" t="inlineStr">
        <is>
          <t>28063</t>
        </is>
      </c>
      <c r="B161" s="4" t="inlineStr">
        <is>
          <t>Gargantilla del Lozoya y Pinilla de Buitrago</t>
        </is>
      </c>
      <c r="C161" s="4" t="inlineStr">
        <is>
          <t>Sierra Norte / Rural</t>
        </is>
      </c>
      <c r="D161" s="5" t="n">
        <v>309</v>
      </c>
      <c r="E161" s="5" t="n">
        <v>344</v>
      </c>
      <c r="F161" s="5" t="n">
        <v>361</v>
      </c>
      <c r="G161" s="5" t="n">
        <v>388</v>
      </c>
      <c r="H161" s="5" t="n">
        <v>397</v>
      </c>
      <c r="I161" s="5" t="n">
        <v>396</v>
      </c>
      <c r="J161" s="6">
        <f>I161-D161</f>
        <v/>
      </c>
      <c r="K161" s="7">
        <f>(I161-D161)/D161</f>
        <v/>
      </c>
      <c r="L161" s="7">
        <f>(I161/D161)^(1/5)-1</f>
        <v/>
      </c>
      <c r="M161" s="7">
        <f>(G161-D161)/D161</f>
        <v/>
      </c>
      <c r="N161" s="7">
        <f>(I161-G161)/G161</f>
        <v/>
      </c>
      <c r="O161" s="12" t="inlineStr">
        <is>
          <t>Fuerte (+12%)</t>
        </is>
      </c>
    </row>
    <row r="162">
      <c r="A162" s="4" t="inlineStr">
        <is>
          <t>28182</t>
        </is>
      </c>
      <c r="B162" s="4" t="inlineStr">
        <is>
          <t>Villavieja del Lozoya</t>
        </is>
      </c>
      <c r="C162" s="4" t="inlineStr">
        <is>
          <t>Sierra Norte / Rural</t>
        </is>
      </c>
      <c r="D162" s="5" t="n">
        <v>262</v>
      </c>
      <c r="E162" s="5" t="n">
        <v>276</v>
      </c>
      <c r="F162" s="5" t="n">
        <v>284</v>
      </c>
      <c r="G162" s="5" t="n">
        <v>314</v>
      </c>
      <c r="H162" s="5" t="n">
        <v>324</v>
      </c>
      <c r="I162" s="5" t="n">
        <v>332</v>
      </c>
      <c r="J162" s="6">
        <f>I162-D162</f>
        <v/>
      </c>
      <c r="K162" s="7">
        <f>(I162-D162)/D162</f>
        <v/>
      </c>
      <c r="L162" s="7">
        <f>(I162/D162)^(1/5)-1</f>
        <v/>
      </c>
      <c r="M162" s="7">
        <f>(G162-D162)/D162</f>
        <v/>
      </c>
      <c r="N162" s="7">
        <f>(I162-G162)/G162</f>
        <v/>
      </c>
      <c r="O162" s="12" t="inlineStr">
        <is>
          <t>Fuerte (+12%)</t>
        </is>
      </c>
    </row>
    <row r="163">
      <c r="A163" s="4" t="inlineStr">
        <is>
          <t>28121</t>
        </is>
      </c>
      <c r="B163" s="4" t="inlineStr">
        <is>
          <t>Redueña</t>
        </is>
      </c>
      <c r="C163" s="4" t="inlineStr">
        <is>
          <t>Sierra Norte / Rural</t>
        </is>
      </c>
      <c r="D163" s="5" t="n">
        <v>270</v>
      </c>
      <c r="E163" s="5" t="n">
        <v>294</v>
      </c>
      <c r="F163" s="5" t="n">
        <v>298</v>
      </c>
      <c r="G163" s="5" t="n">
        <v>304</v>
      </c>
      <c r="H163" s="5" t="n">
        <v>288</v>
      </c>
      <c r="I163" s="5" t="n">
        <v>288</v>
      </c>
      <c r="J163" s="6">
        <f>I163-D163</f>
        <v/>
      </c>
      <c r="K163" s="7">
        <f>(I163-D163)/D163</f>
        <v/>
      </c>
      <c r="L163" s="7">
        <f>(I163/D163)^(1/5)-1</f>
        <v/>
      </c>
      <c r="M163" s="7">
        <f>(G163-D163)/D163</f>
        <v/>
      </c>
      <c r="N163" s="7">
        <f>(I163-G163)/G163</f>
        <v/>
      </c>
      <c r="O163" s="8" t="inlineStr">
        <is>
          <t>Alto (5-12%)</t>
        </is>
      </c>
    </row>
    <row r="164">
      <c r="A164" s="4" t="inlineStr">
        <is>
          <t>28003</t>
        </is>
      </c>
      <c r="B164" s="4" t="inlineStr">
        <is>
          <t>Alameda del Valle</t>
        </is>
      </c>
      <c r="C164" s="4" t="inlineStr">
        <is>
          <t>Sierra Norte / Rural</t>
        </is>
      </c>
      <c r="D164" s="5" t="n">
        <v>204</v>
      </c>
      <c r="E164" s="5" t="n">
        <v>246</v>
      </c>
      <c r="F164" s="5" t="n">
        <v>241</v>
      </c>
      <c r="G164" s="5" t="n">
        <v>274</v>
      </c>
      <c r="H164" s="5" t="n">
        <v>255</v>
      </c>
      <c r="I164" s="5" t="n">
        <v>267</v>
      </c>
      <c r="J164" s="6">
        <f>I164-D164</f>
        <v/>
      </c>
      <c r="K164" s="7">
        <f>(I164-D164)/D164</f>
        <v/>
      </c>
      <c r="L164" s="7">
        <f>(I164/D164)^(1/5)-1</f>
        <v/>
      </c>
      <c r="M164" s="7">
        <f>(G164-D164)/D164</f>
        <v/>
      </c>
      <c r="N164" s="7">
        <f>(I164-G164)/G164</f>
        <v/>
      </c>
      <c r="O164" s="12" t="inlineStr">
        <is>
          <t>Fuerte (+12%)</t>
        </is>
      </c>
    </row>
    <row r="165">
      <c r="A165" s="4" t="inlineStr">
        <is>
          <t>28064</t>
        </is>
      </c>
      <c r="B165" s="4" t="inlineStr">
        <is>
          <t>Gascones</t>
        </is>
      </c>
      <c r="C165" s="4" t="inlineStr">
        <is>
          <t>Sierra Norte / Rural</t>
        </is>
      </c>
      <c r="D165" s="5" t="n">
        <v>176</v>
      </c>
      <c r="E165" s="5" t="n">
        <v>191</v>
      </c>
      <c r="F165" s="5" t="n">
        <v>212</v>
      </c>
      <c r="G165" s="5" t="n">
        <v>229</v>
      </c>
      <c r="H165" s="5" t="n">
        <v>239</v>
      </c>
      <c r="I165" s="5" t="n">
        <v>252</v>
      </c>
      <c r="J165" s="6">
        <f>I165-D165</f>
        <v/>
      </c>
      <c r="K165" s="7">
        <f>(I165-D165)/D165</f>
        <v/>
      </c>
      <c r="L165" s="7">
        <f>(I165/D165)^(1/5)-1</f>
        <v/>
      </c>
      <c r="M165" s="7">
        <f>(G165-D165)/D165</f>
        <v/>
      </c>
      <c r="N165" s="7">
        <f>(I165-G165)/G165</f>
        <v/>
      </c>
      <c r="O165" s="12" t="inlineStr">
        <is>
          <t>Fuerte (+12%)</t>
        </is>
      </c>
    </row>
    <row r="166">
      <c r="A166" s="4" t="inlineStr">
        <is>
          <t>28020</t>
        </is>
      </c>
      <c r="B166" s="4" t="inlineStr">
        <is>
          <t>Berzosa del Lozoya</t>
        </is>
      </c>
      <c r="C166" s="4" t="inlineStr">
        <is>
          <t>Sierra Norte / Rural</t>
        </is>
      </c>
      <c r="D166" s="5" t="n">
        <v>222</v>
      </c>
      <c r="E166" s="5" t="n">
        <v>216</v>
      </c>
      <c r="F166" s="5" t="n">
        <v>227</v>
      </c>
      <c r="G166" s="5" t="n">
        <v>217</v>
      </c>
      <c r="H166" s="5" t="n">
        <v>231</v>
      </c>
      <c r="I166" s="5" t="n">
        <v>242</v>
      </c>
      <c r="J166" s="6">
        <f>I166-D166</f>
        <v/>
      </c>
      <c r="K166" s="7">
        <f>(I166-D166)/D166</f>
        <v/>
      </c>
      <c r="L166" s="7">
        <f>(I166/D166)^(1/5)-1</f>
        <v/>
      </c>
      <c r="M166" s="7">
        <f>(G166-D166)/D166</f>
        <v/>
      </c>
      <c r="N166" s="7">
        <f>(I166-G166)/G166</f>
        <v/>
      </c>
      <c r="O166" s="8" t="inlineStr">
        <is>
          <t>Alto (5-12%)</t>
        </is>
      </c>
    </row>
    <row r="167">
      <c r="A167" s="4" t="inlineStr">
        <is>
          <t>28024</t>
        </is>
      </c>
      <c r="B167" s="4" t="inlineStr">
        <is>
          <t>Braojos</t>
        </is>
      </c>
      <c r="C167" s="4" t="inlineStr">
        <is>
          <t>Sierra Norte / Rural</t>
        </is>
      </c>
      <c r="D167" s="5" t="n">
        <v>206</v>
      </c>
      <c r="E167" s="5" t="n">
        <v>218</v>
      </c>
      <c r="F167" s="5" t="n">
        <v>218</v>
      </c>
      <c r="G167" s="5" t="n">
        <v>212</v>
      </c>
      <c r="H167" s="5" t="n">
        <v>219</v>
      </c>
      <c r="I167" s="5" t="n">
        <v>233</v>
      </c>
      <c r="J167" s="6">
        <f>I167-D167</f>
        <v/>
      </c>
      <c r="K167" s="7">
        <f>(I167-D167)/D167</f>
        <v/>
      </c>
      <c r="L167" s="7">
        <f>(I167/D167)^(1/5)-1</f>
        <v/>
      </c>
      <c r="M167" s="7">
        <f>(G167-D167)/D167</f>
        <v/>
      </c>
      <c r="N167" s="7">
        <f>(I167-G167)/G167</f>
        <v/>
      </c>
      <c r="O167" s="12" t="inlineStr">
        <is>
          <t>Fuerte (+12%)</t>
        </is>
      </c>
    </row>
    <row r="168">
      <c r="A168" s="4" t="inlineStr">
        <is>
          <t>28070</t>
        </is>
      </c>
      <c r="B168" s="4" t="inlineStr">
        <is>
          <t>Horcajo de la Sierra-Aoslos</t>
        </is>
      </c>
      <c r="C168" s="4" t="inlineStr">
        <is>
          <t>Sierra Norte / Rural</t>
        </is>
      </c>
      <c r="D168" s="5" t="n">
        <v>152</v>
      </c>
      <c r="E168" s="5" t="n">
        <v>170</v>
      </c>
      <c r="F168" s="5" t="n">
        <v>201</v>
      </c>
      <c r="G168" s="5" t="n">
        <v>234</v>
      </c>
      <c r="H168" s="5" t="n">
        <v>233</v>
      </c>
      <c r="I168" s="5" t="n">
        <v>219</v>
      </c>
      <c r="J168" s="6">
        <f>I168-D168</f>
        <v/>
      </c>
      <c r="K168" s="7">
        <f>(I168-D168)/D168</f>
        <v/>
      </c>
      <c r="L168" s="7">
        <f>(I168/D168)^(1/5)-1</f>
        <v/>
      </c>
      <c r="M168" s="7">
        <f>(G168-D168)/D168</f>
        <v/>
      </c>
      <c r="N168" s="7">
        <f>(I168-G168)/G168</f>
        <v/>
      </c>
      <c r="O168" s="12" t="inlineStr">
        <is>
          <t>Fuerte (+12%)</t>
        </is>
      </c>
    </row>
    <row r="169">
      <c r="A169" s="4" t="inlineStr">
        <is>
          <t>28112</t>
        </is>
      </c>
      <c r="B169" s="4" t="inlineStr">
        <is>
          <t>Pinilla del Valle</t>
        </is>
      </c>
      <c r="C169" s="4" t="inlineStr">
        <is>
          <t>Sierra Norte / Rural</t>
        </is>
      </c>
      <c r="D169" s="5" t="n">
        <v>190</v>
      </c>
      <c r="E169" s="5" t="n">
        <v>196</v>
      </c>
      <c r="F169" s="5" t="n">
        <v>198</v>
      </c>
      <c r="G169" s="5" t="n">
        <v>204</v>
      </c>
      <c r="H169" s="5" t="n">
        <v>200</v>
      </c>
      <c r="I169" s="5" t="n">
        <v>200</v>
      </c>
      <c r="J169" s="6">
        <f>I169-D169</f>
        <v/>
      </c>
      <c r="K169" s="7">
        <f>(I169-D169)/D169</f>
        <v/>
      </c>
      <c r="L169" s="7">
        <f>(I169/D169)^(1/5)-1</f>
        <v/>
      </c>
      <c r="M169" s="7">
        <f>(G169-D169)/D169</f>
        <v/>
      </c>
      <c r="N169" s="7">
        <f>(I169-G169)/G169</f>
        <v/>
      </c>
      <c r="O169" s="8" t="inlineStr">
        <is>
          <t>Alto (5-12%)</t>
        </is>
      </c>
    </row>
    <row r="170">
      <c r="A170" s="4" t="inlineStr">
        <is>
          <t>28114</t>
        </is>
      </c>
      <c r="B170" s="4" t="inlineStr">
        <is>
          <t>Piñuécar-Gandullas</t>
        </is>
      </c>
      <c r="C170" s="4" t="inlineStr">
        <is>
          <t>Sierra Norte / Rural</t>
        </is>
      </c>
      <c r="D170" s="5" t="n">
        <v>179</v>
      </c>
      <c r="E170" s="5" t="n">
        <v>185</v>
      </c>
      <c r="F170" s="5" t="n">
        <v>184</v>
      </c>
      <c r="G170" s="5" t="n">
        <v>178</v>
      </c>
      <c r="H170" s="5" t="n">
        <v>185</v>
      </c>
      <c r="I170" s="5" t="n">
        <v>183</v>
      </c>
      <c r="J170" s="6">
        <f>I170-D170</f>
        <v/>
      </c>
      <c r="K170" s="7">
        <f>(I170-D170)/D170</f>
        <v/>
      </c>
      <c r="L170" s="7">
        <f>(I170/D170)^(1/5)-1</f>
        <v/>
      </c>
      <c r="M170" s="7">
        <f>(G170-D170)/D170</f>
        <v/>
      </c>
      <c r="N170" s="7">
        <f>(I170-G170)/G170</f>
        <v/>
      </c>
      <c r="O170" s="9" t="inlineStr">
        <is>
          <t>Moderado (2-5%)</t>
        </is>
      </c>
    </row>
    <row r="171">
      <c r="A171" s="4" t="inlineStr">
        <is>
          <t>28039</t>
        </is>
      </c>
      <c r="B171" s="4" t="inlineStr">
        <is>
          <t>Cervera de Buitrago</t>
        </is>
      </c>
      <c r="C171" s="4" t="inlineStr">
        <is>
          <t>Sierra Norte / Rural</t>
        </is>
      </c>
      <c r="D171" s="5" t="n">
        <v>162</v>
      </c>
      <c r="E171" s="5" t="n">
        <v>158</v>
      </c>
      <c r="F171" s="5" t="n">
        <v>169</v>
      </c>
      <c r="G171" s="5" t="n">
        <v>164</v>
      </c>
      <c r="H171" s="5" t="n">
        <v>161</v>
      </c>
      <c r="I171" s="5" t="n">
        <v>165</v>
      </c>
      <c r="J171" s="6">
        <f>I171-D171</f>
        <v/>
      </c>
      <c r="K171" s="7">
        <f>(I171-D171)/D171</f>
        <v/>
      </c>
      <c r="L171" s="7">
        <f>(I171/D171)^(1/5)-1</f>
        <v/>
      </c>
      <c r="M171" s="7">
        <f>(G171-D171)/D171</f>
        <v/>
      </c>
      <c r="N171" s="7">
        <f>(I171-G171)/G171</f>
        <v/>
      </c>
      <c r="O171" s="11" t="inlineStr">
        <is>
          <t>Estable (±)</t>
        </is>
      </c>
    </row>
    <row r="172">
      <c r="A172" s="4" t="inlineStr">
        <is>
          <t>28097</t>
        </is>
      </c>
      <c r="B172" s="4" t="inlineStr">
        <is>
          <t>Navarredonda y San Mamés</t>
        </is>
      </c>
      <c r="C172" s="4" t="inlineStr">
        <is>
          <t>Sierra Norte / Rural</t>
        </is>
      </c>
      <c r="D172" s="5" t="n">
        <v>129</v>
      </c>
      <c r="E172" s="5" t="n">
        <v>141</v>
      </c>
      <c r="F172" s="5" t="n">
        <v>138</v>
      </c>
      <c r="G172" s="5" t="n">
        <v>150</v>
      </c>
      <c r="H172" s="5" t="n">
        <v>151</v>
      </c>
      <c r="I172" s="5" t="n">
        <v>163</v>
      </c>
      <c r="J172" s="6">
        <f>I172-D172</f>
        <v/>
      </c>
      <c r="K172" s="7">
        <f>(I172-D172)/D172</f>
        <v/>
      </c>
      <c r="L172" s="7">
        <f>(I172/D172)^(1/5)-1</f>
        <v/>
      </c>
      <c r="M172" s="7">
        <f>(G172-D172)/D172</f>
        <v/>
      </c>
      <c r="N172" s="7">
        <f>(I172-G172)/G172</f>
        <v/>
      </c>
      <c r="O172" s="12" t="inlineStr">
        <is>
          <t>Fuerte (+12%)</t>
        </is>
      </c>
    </row>
    <row r="173">
      <c r="A173" s="4" t="inlineStr">
        <is>
          <t>28117</t>
        </is>
      </c>
      <c r="B173" s="4" t="inlineStr">
        <is>
          <t>Prádena del Rincón</t>
        </is>
      </c>
      <c r="C173" s="4" t="inlineStr">
        <is>
          <t>Sierra Norte / Rural</t>
        </is>
      </c>
      <c r="D173" s="5" t="n">
        <v>125</v>
      </c>
      <c r="E173" s="5" t="n">
        <v>149</v>
      </c>
      <c r="F173" s="5" t="n">
        <v>147</v>
      </c>
      <c r="G173" s="5" t="n">
        <v>150</v>
      </c>
      <c r="H173" s="5" t="n">
        <v>139</v>
      </c>
      <c r="I173" s="5" t="n">
        <v>146</v>
      </c>
      <c r="J173" s="6">
        <f>I173-D173</f>
        <v/>
      </c>
      <c r="K173" s="7">
        <f>(I173-D173)/D173</f>
        <v/>
      </c>
      <c r="L173" s="7">
        <f>(I173/D173)^(1/5)-1</f>
        <v/>
      </c>
      <c r="M173" s="7">
        <f>(G173-D173)/D173</f>
        <v/>
      </c>
      <c r="N173" s="7">
        <f>(I173-G173)/G173</f>
        <v/>
      </c>
      <c r="O173" s="12" t="inlineStr">
        <is>
          <t>Fuerte (+12%)</t>
        </is>
      </c>
    </row>
    <row r="174">
      <c r="A174" s="4" t="inlineStr">
        <is>
          <t>28124</t>
        </is>
      </c>
      <c r="B174" s="4" t="inlineStr">
        <is>
          <t>Robledillo de la Jara</t>
        </is>
      </c>
      <c r="C174" s="4" t="inlineStr">
        <is>
          <t>Sierra Norte / Rural</t>
        </is>
      </c>
      <c r="D174" s="5" t="n">
        <v>95</v>
      </c>
      <c r="E174" s="5" t="n">
        <v>97</v>
      </c>
      <c r="F174" s="5" t="n">
        <v>114</v>
      </c>
      <c r="G174" s="5" t="n">
        <v>135</v>
      </c>
      <c r="H174" s="5" t="n">
        <v>131</v>
      </c>
      <c r="I174" s="5" t="n">
        <v>118</v>
      </c>
      <c r="J174" s="6">
        <f>I174-D174</f>
        <v/>
      </c>
      <c r="K174" s="7">
        <f>(I174-D174)/D174</f>
        <v/>
      </c>
      <c r="L174" s="7">
        <f>(I174/D174)^(1/5)-1</f>
        <v/>
      </c>
      <c r="M174" s="7">
        <f>(G174-D174)/D174</f>
        <v/>
      </c>
      <c r="N174" s="7">
        <f>(I174-G174)/G174</f>
        <v/>
      </c>
      <c r="O174" s="12" t="inlineStr">
        <is>
          <t>Fuerte (+12%)</t>
        </is>
      </c>
    </row>
    <row r="175">
      <c r="A175" s="4" t="inlineStr">
        <is>
          <t>28016</t>
        </is>
      </c>
      <c r="B175" s="4" t="inlineStr">
        <is>
          <t>Atazar, El</t>
        </is>
      </c>
      <c r="C175" s="4" t="inlineStr">
        <is>
          <t>Sierra Norte / Rural</t>
        </is>
      </c>
      <c r="D175" s="5" t="n">
        <v>90</v>
      </c>
      <c r="E175" s="5" t="n">
        <v>109</v>
      </c>
      <c r="F175" s="5" t="n">
        <v>107</v>
      </c>
      <c r="G175" s="5" t="n">
        <v>104</v>
      </c>
      <c r="H175" s="5" t="n">
        <v>107</v>
      </c>
      <c r="I175" s="5" t="n">
        <v>110</v>
      </c>
      <c r="J175" s="6">
        <f>I175-D175</f>
        <v/>
      </c>
      <c r="K175" s="7">
        <f>(I175-D175)/D175</f>
        <v/>
      </c>
      <c r="L175" s="7">
        <f>(I175/D175)^(1/5)-1</f>
        <v/>
      </c>
      <c r="M175" s="7">
        <f>(G175-D175)/D175</f>
        <v/>
      </c>
      <c r="N175" s="7">
        <f>(I175-G175)/G175</f>
        <v/>
      </c>
      <c r="O175" s="12" t="inlineStr">
        <is>
          <t>Fuerte (+12%)</t>
        </is>
      </c>
    </row>
    <row r="176">
      <c r="A176" s="4" t="inlineStr">
        <is>
          <t>28138</t>
        </is>
      </c>
      <c r="B176" s="4" t="inlineStr">
        <is>
          <t>Serna del Monte, La</t>
        </is>
      </c>
      <c r="C176" s="4" t="inlineStr">
        <is>
          <t>Sierra Norte / Rural</t>
        </is>
      </c>
      <c r="D176" s="5" t="n">
        <v>87</v>
      </c>
      <c r="E176" s="5" t="n">
        <v>96</v>
      </c>
      <c r="F176" s="5" t="n">
        <v>108</v>
      </c>
      <c r="G176" s="5" t="n">
        <v>106</v>
      </c>
      <c r="H176" s="5" t="n">
        <v>105</v>
      </c>
      <c r="I176" s="5" t="n">
        <v>110</v>
      </c>
      <c r="J176" s="6">
        <f>I176-D176</f>
        <v/>
      </c>
      <c r="K176" s="7">
        <f>(I176-D176)/D176</f>
        <v/>
      </c>
      <c r="L176" s="7">
        <f>(I176/D176)^(1/5)-1</f>
        <v/>
      </c>
      <c r="M176" s="7">
        <f>(G176-D176)/D176</f>
        <v/>
      </c>
      <c r="N176" s="7">
        <f>(I176-G176)/G176</f>
        <v/>
      </c>
      <c r="O176" s="12" t="inlineStr">
        <is>
          <t>Fuerte (+12%)</t>
        </is>
      </c>
    </row>
    <row r="177">
      <c r="A177" s="4" t="inlineStr">
        <is>
          <t>28071</t>
        </is>
      </c>
      <c r="B177" s="4" t="inlineStr">
        <is>
          <t>Horcajuelo de la Sierra</t>
        </is>
      </c>
      <c r="C177" s="4" t="inlineStr">
        <is>
          <t>Sierra Norte / Rural</t>
        </is>
      </c>
      <c r="D177" s="5" t="n">
        <v>89</v>
      </c>
      <c r="E177" s="5" t="n">
        <v>106</v>
      </c>
      <c r="F177" s="5" t="n">
        <v>110</v>
      </c>
      <c r="G177" s="5" t="n">
        <v>108</v>
      </c>
      <c r="H177" s="5" t="n">
        <v>111</v>
      </c>
      <c r="I177" s="5" t="n">
        <v>104</v>
      </c>
      <c r="J177" s="6">
        <f>I177-D177</f>
        <v/>
      </c>
      <c r="K177" s="7">
        <f>(I177-D177)/D177</f>
        <v/>
      </c>
      <c r="L177" s="7">
        <f>(I177/D177)^(1/5)-1</f>
        <v/>
      </c>
      <c r="M177" s="7">
        <f>(G177-D177)/D177</f>
        <v/>
      </c>
      <c r="N177" s="7">
        <f>(I177-G177)/G177</f>
        <v/>
      </c>
      <c r="O177" s="12" t="inlineStr">
        <is>
          <t>Fuerte (+12%)</t>
        </is>
      </c>
    </row>
    <row r="178">
      <c r="A178" s="4" t="inlineStr">
        <is>
          <t>28118</t>
        </is>
      </c>
      <c r="B178" s="4" t="inlineStr">
        <is>
          <t>Puebla de la Sierra</t>
        </is>
      </c>
      <c r="C178" s="4" t="inlineStr">
        <is>
          <t>Sierra Norte / Rural</t>
        </is>
      </c>
      <c r="D178" s="5" t="n">
        <v>73</v>
      </c>
      <c r="E178" s="5" t="n">
        <v>75</v>
      </c>
      <c r="F178" s="5" t="n">
        <v>84</v>
      </c>
      <c r="G178" s="5" t="n">
        <v>99</v>
      </c>
      <c r="H178" s="5" t="n">
        <v>93</v>
      </c>
      <c r="I178" s="5" t="n">
        <v>98</v>
      </c>
      <c r="J178" s="6">
        <f>I178-D178</f>
        <v/>
      </c>
      <c r="K178" s="7">
        <f>(I178-D178)/D178</f>
        <v/>
      </c>
      <c r="L178" s="7">
        <f>(I178/D178)^(1/5)-1</f>
        <v/>
      </c>
      <c r="M178" s="7">
        <f>(G178-D178)/D178</f>
        <v/>
      </c>
      <c r="N178" s="7">
        <f>(I178-G178)/G178</f>
        <v/>
      </c>
      <c r="O178" s="12" t="inlineStr">
        <is>
          <t>Fuerte (+12%)</t>
        </is>
      </c>
    </row>
    <row r="179">
      <c r="A179" s="4" t="inlineStr">
        <is>
          <t>28143</t>
        </is>
      </c>
      <c r="B179" s="4" t="inlineStr">
        <is>
          <t>Somosierra</t>
        </is>
      </c>
      <c r="C179" s="4" t="inlineStr">
        <is>
          <t>Sierra Norte / Rural</t>
        </is>
      </c>
      <c r="D179" s="5" t="n">
        <v>87</v>
      </c>
      <c r="E179" s="5" t="n">
        <v>87</v>
      </c>
      <c r="F179" s="5" t="n">
        <v>87</v>
      </c>
      <c r="G179" s="5" t="n">
        <v>85</v>
      </c>
      <c r="H179" s="5" t="n">
        <v>95</v>
      </c>
      <c r="I179" s="5" t="n">
        <v>93</v>
      </c>
      <c r="J179" s="6">
        <f>I179-D179</f>
        <v/>
      </c>
      <c r="K179" s="7">
        <f>(I179-D179)/D179</f>
        <v/>
      </c>
      <c r="L179" s="7">
        <f>(I179/D179)^(1/5)-1</f>
        <v/>
      </c>
      <c r="M179" s="7">
        <f>(G179-D179)/D179</f>
        <v/>
      </c>
      <c r="N179" s="7">
        <f>(I179-G179)/G179</f>
        <v/>
      </c>
      <c r="O179" s="8" t="inlineStr">
        <is>
          <t>Alto (5-12%)</t>
        </is>
      </c>
    </row>
    <row r="180">
      <c r="A180" s="4" t="inlineStr">
        <is>
          <t>28069</t>
        </is>
      </c>
      <c r="B180" s="4" t="inlineStr">
        <is>
          <t>Hiruela, La</t>
        </is>
      </c>
      <c r="C180" s="4" t="inlineStr">
        <is>
          <t>Sierra Norte / Rural</t>
        </is>
      </c>
      <c r="D180" s="5" t="n">
        <v>65</v>
      </c>
      <c r="E180" s="5" t="n">
        <v>72</v>
      </c>
      <c r="F180" s="5" t="n">
        <v>75</v>
      </c>
      <c r="G180" s="5" t="n">
        <v>74</v>
      </c>
      <c r="H180" s="5" t="n">
        <v>83</v>
      </c>
      <c r="I180" s="5" t="n">
        <v>88</v>
      </c>
      <c r="J180" s="6">
        <f>I180-D180</f>
        <v/>
      </c>
      <c r="K180" s="7">
        <f>(I180-D180)/D180</f>
        <v/>
      </c>
      <c r="L180" s="7">
        <f>(I180/D180)^(1/5)-1</f>
        <v/>
      </c>
      <c r="M180" s="7">
        <f>(G180-D180)/D180</f>
        <v/>
      </c>
      <c r="N180" s="7">
        <f>(I180-G180)/G180</f>
        <v/>
      </c>
      <c r="O180" s="12" t="inlineStr">
        <is>
          <t>Fuerte (+12%)</t>
        </is>
      </c>
    </row>
    <row r="181">
      <c r="A181" s="4" t="inlineStr">
        <is>
          <t>28126</t>
        </is>
      </c>
      <c r="B181" s="4" t="inlineStr">
        <is>
          <t>Robregordo</t>
        </is>
      </c>
      <c r="C181" s="4" t="inlineStr">
        <is>
          <t>Sierra Norte / Rural</t>
        </is>
      </c>
      <c r="D181" s="5" t="n">
        <v>65</v>
      </c>
      <c r="E181" s="5" t="n">
        <v>71</v>
      </c>
      <c r="F181" s="5" t="n">
        <v>70</v>
      </c>
      <c r="G181" s="5" t="n">
        <v>79</v>
      </c>
      <c r="H181" s="5" t="n">
        <v>73</v>
      </c>
      <c r="I181" s="5" t="n">
        <v>79</v>
      </c>
      <c r="J181" s="6">
        <f>I181-D181</f>
        <v/>
      </c>
      <c r="K181" s="7">
        <f>(I181-D181)/D181</f>
        <v/>
      </c>
      <c r="L181" s="7">
        <f>(I181/D181)^(1/5)-1</f>
        <v/>
      </c>
      <c r="M181" s="7">
        <f>(G181-D181)/D181</f>
        <v/>
      </c>
      <c r="N181" s="7">
        <f>(I181-G181)/G181</f>
        <v/>
      </c>
      <c r="O181" s="12" t="inlineStr">
        <is>
          <t>Fuerte (+12%)</t>
        </is>
      </c>
    </row>
    <row r="182">
      <c r="A182" s="4" t="inlineStr">
        <is>
          <t>28001</t>
        </is>
      </c>
      <c r="B182" s="4" t="inlineStr">
        <is>
          <t>Acebeda, La</t>
        </is>
      </c>
      <c r="C182" s="4" t="inlineStr">
        <is>
          <t>Sierra Norte / Rural</t>
        </is>
      </c>
      <c r="D182" s="5" t="n">
        <v>68</v>
      </c>
      <c r="E182" s="5" t="n">
        <v>55</v>
      </c>
      <c r="F182" s="5" t="n">
        <v>62</v>
      </c>
      <c r="G182" s="5" t="n">
        <v>67</v>
      </c>
      <c r="H182" s="5" t="n">
        <v>68</v>
      </c>
      <c r="I182" s="5" t="n">
        <v>70</v>
      </c>
      <c r="J182" s="6">
        <f>I182-D182</f>
        <v/>
      </c>
      <c r="K182" s="7">
        <f>(I182-D182)/D182</f>
        <v/>
      </c>
      <c r="L182" s="7">
        <f>(I182/D182)^(1/5)-1</f>
        <v/>
      </c>
      <c r="M182" s="7">
        <f>(G182-D182)/D182</f>
        <v/>
      </c>
      <c r="N182" s="7">
        <f>(I182-G182)/G182</f>
        <v/>
      </c>
      <c r="O182" s="9" t="inlineStr">
        <is>
          <t>Moderado (2-5%)</t>
        </is>
      </c>
    </row>
    <row r="183">
      <c r="A183" s="4" t="inlineStr">
        <is>
          <t>28078</t>
        </is>
      </c>
      <c r="B183" s="4" t="inlineStr">
        <is>
          <t>Madarcos</t>
        </is>
      </c>
      <c r="C183" s="4" t="inlineStr">
        <is>
          <t>Sierra Norte / Rural</t>
        </is>
      </c>
      <c r="D183" s="5" t="n">
        <v>49</v>
      </c>
      <c r="E183" s="5" t="n">
        <v>57</v>
      </c>
      <c r="F183" s="5" t="n">
        <v>63</v>
      </c>
      <c r="G183" s="5" t="n">
        <v>72</v>
      </c>
      <c r="H183" s="5" t="n">
        <v>70</v>
      </c>
      <c r="I183" s="5" t="n">
        <v>69</v>
      </c>
      <c r="J183" s="6">
        <f>I183-D183</f>
        <v/>
      </c>
      <c r="K183" s="7">
        <f>(I183-D183)/D183</f>
        <v/>
      </c>
      <c r="L183" s="7">
        <f>(I183/D183)^(1/5)-1</f>
        <v/>
      </c>
      <c r="M183" s="7">
        <f>(G183-D183)/D183</f>
        <v/>
      </c>
      <c r="N183" s="7">
        <f>(I183-G183)/G183</f>
        <v/>
      </c>
      <c r="O183" s="12" t="inlineStr">
        <is>
          <t>Fuerte (+12%)</t>
        </is>
      </c>
    </row>
  </sheetData>
  <autoFilter ref="A4:O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Rankings de crecimiento 2020-2025</t>
        </is>
      </c>
    </row>
    <row r="3">
      <c r="A3" s="13" t="inlineStr">
        <is>
          <t>TOP 20 crecimiento % (municipios ≥3.000 hab, excl. capital)</t>
        </is>
      </c>
    </row>
    <row r="4">
      <c r="A4" s="14" t="inlineStr">
        <is>
          <t>Municipio</t>
        </is>
      </c>
      <c r="B4" s="14" t="inlineStr">
        <is>
          <t>Eje</t>
        </is>
      </c>
      <c r="C4" s="14" t="inlineStr">
        <is>
          <t>2020</t>
        </is>
      </c>
      <c r="D4" s="14" t="inlineStr">
        <is>
          <t>2025</t>
        </is>
      </c>
      <c r="E4" s="14" t="inlineStr">
        <is>
          <t>Δ abs</t>
        </is>
      </c>
      <c r="F4" s="14" t="inlineStr">
        <is>
          <t>Δ%</t>
        </is>
      </c>
    </row>
    <row r="5">
      <c r="A5" s="4" t="inlineStr">
        <is>
          <t>Villalbilla</t>
        </is>
      </c>
      <c r="B5" s="4" t="inlineStr">
        <is>
          <t>Henares (E)</t>
        </is>
      </c>
      <c r="C5" s="5" t="n">
        <v>14392</v>
      </c>
      <c r="D5" s="5" t="n">
        <v>18687</v>
      </c>
      <c r="E5" s="6" t="n">
        <v>4295</v>
      </c>
      <c r="F5" s="7" t="n">
        <v>0.2984296831573096</v>
      </c>
    </row>
    <row r="6">
      <c r="A6" s="4" t="inlineStr">
        <is>
          <t>Boadilla del Monte</t>
        </is>
      </c>
      <c r="B6" s="4" t="inlineStr">
        <is>
          <t>Noroeste (A-6)</t>
        </is>
      </c>
      <c r="C6" s="5" t="n">
        <v>56734</v>
      </c>
      <c r="D6" s="5" t="n">
        <v>66349</v>
      </c>
      <c r="E6" s="6" t="n">
        <v>9615</v>
      </c>
      <c r="F6" s="7" t="n">
        <v>0.1694750942997145</v>
      </c>
    </row>
    <row r="7">
      <c r="A7" s="4" t="inlineStr">
        <is>
          <t>Velilla de San Antonio</t>
        </is>
      </c>
      <c r="B7" s="4" t="inlineStr">
        <is>
          <t>Henares (E)</t>
        </is>
      </c>
      <c r="C7" s="5" t="n">
        <v>12380</v>
      </c>
      <c r="D7" s="5" t="n">
        <v>14468</v>
      </c>
      <c r="E7" s="6" t="n">
        <v>2088</v>
      </c>
      <c r="F7" s="7" t="n">
        <v>0.1686591276252019</v>
      </c>
    </row>
    <row r="8">
      <c r="A8" s="4" t="inlineStr">
        <is>
          <t>Villa del Prado</t>
        </is>
      </c>
      <c r="B8" s="4" t="inlineStr">
        <is>
          <t>Sudoeste (A-5)</t>
        </is>
      </c>
      <c r="C8" s="5" t="n">
        <v>6661</v>
      </c>
      <c r="D8" s="5" t="n">
        <v>7743</v>
      </c>
      <c r="E8" s="6" t="n">
        <v>1082</v>
      </c>
      <c r="F8" s="7" t="n">
        <v>0.1624380723615073</v>
      </c>
    </row>
    <row r="9">
      <c r="A9" s="4" t="inlineStr">
        <is>
          <t>Torrejón de la Calzada</t>
        </is>
      </c>
      <c r="B9" s="4" t="inlineStr">
        <is>
          <t>Sur (A-4/A-42)</t>
        </is>
      </c>
      <c r="C9" s="5" t="n">
        <v>9194</v>
      </c>
      <c r="D9" s="5" t="n">
        <v>10653</v>
      </c>
      <c r="E9" s="6" t="n">
        <v>1459</v>
      </c>
      <c r="F9" s="7" t="n">
        <v>0.1586904502936698</v>
      </c>
    </row>
    <row r="10">
      <c r="A10" s="4" t="inlineStr">
        <is>
          <t>Arroyomolinos</t>
        </is>
      </c>
      <c r="B10" s="4" t="inlineStr">
        <is>
          <t>Sudoeste (A-5)</t>
        </is>
      </c>
      <c r="C10" s="5" t="n">
        <v>32935</v>
      </c>
      <c r="D10" s="5" t="n">
        <v>38075</v>
      </c>
      <c r="E10" s="6" t="n">
        <v>5140</v>
      </c>
      <c r="F10" s="7" t="n">
        <v>0.1560649764688022</v>
      </c>
    </row>
    <row r="11">
      <c r="A11" s="4" t="inlineStr">
        <is>
          <t>Miraflores de la Sierra</t>
        </is>
      </c>
      <c r="B11" s="4" t="inlineStr">
        <is>
          <t>Norte (A-1)</t>
        </is>
      </c>
      <c r="C11" s="5" t="n">
        <v>6362</v>
      </c>
      <c r="D11" s="5" t="n">
        <v>7350</v>
      </c>
      <c r="E11" s="6" t="n">
        <v>988</v>
      </c>
      <c r="F11" s="7" t="n">
        <v>0.155297076391072</v>
      </c>
    </row>
    <row r="12">
      <c r="A12" s="4" t="inlineStr">
        <is>
          <t>Nuevo Baztán</t>
        </is>
      </c>
      <c r="B12" s="4" t="inlineStr">
        <is>
          <t>Sureste (A-3)</t>
        </is>
      </c>
      <c r="C12" s="5" t="n">
        <v>6454</v>
      </c>
      <c r="D12" s="5" t="n">
        <v>7429</v>
      </c>
      <c r="E12" s="6" t="n">
        <v>975</v>
      </c>
      <c r="F12" s="7" t="n">
        <v>0.1510691044313604</v>
      </c>
    </row>
    <row r="13">
      <c r="A13" s="4" t="inlineStr">
        <is>
          <t>Talamanca de Jarama</t>
        </is>
      </c>
      <c r="B13" s="4" t="inlineStr">
        <is>
          <t>Norte (A-1)</t>
        </is>
      </c>
      <c r="C13" s="5" t="n">
        <v>4012</v>
      </c>
      <c r="D13" s="5" t="n">
        <v>4607</v>
      </c>
      <c r="E13" s="6" t="n">
        <v>595</v>
      </c>
      <c r="F13" s="7" t="n">
        <v>0.1483050847457627</v>
      </c>
    </row>
    <row r="14">
      <c r="A14" s="4" t="inlineStr">
        <is>
          <t>Becerril de la Sierra</t>
        </is>
      </c>
      <c r="B14" s="4" t="inlineStr">
        <is>
          <t>Noroeste (A-6)</t>
        </is>
      </c>
      <c r="C14" s="5" t="n">
        <v>5875</v>
      </c>
      <c r="D14" s="5" t="n">
        <v>6737</v>
      </c>
      <c r="E14" s="6" t="n">
        <v>862</v>
      </c>
      <c r="F14" s="7" t="n">
        <v>0.1467234042553192</v>
      </c>
    </row>
    <row r="15">
      <c r="A15" s="4" t="inlineStr">
        <is>
          <t>Boalo, El</t>
        </is>
      </c>
      <c r="B15" s="4" t="inlineStr">
        <is>
          <t>Noroeste (A-6)</t>
        </is>
      </c>
      <c r="C15" s="5" t="n">
        <v>7663</v>
      </c>
      <c r="D15" s="5" t="n">
        <v>8770</v>
      </c>
      <c r="E15" s="6" t="n">
        <v>1107</v>
      </c>
      <c r="F15" s="7" t="n">
        <v>0.1444603941015268</v>
      </c>
    </row>
    <row r="16">
      <c r="A16" s="4" t="inlineStr">
        <is>
          <t>Quijorna</t>
        </is>
      </c>
      <c r="B16" s="4" t="inlineStr">
        <is>
          <t>Sudoeste (A-5)</t>
        </is>
      </c>
      <c r="C16" s="5" t="n">
        <v>3541</v>
      </c>
      <c r="D16" s="5" t="n">
        <v>4044</v>
      </c>
      <c r="E16" s="6" t="n">
        <v>503</v>
      </c>
      <c r="F16" s="7" t="n">
        <v>0.142050268285795</v>
      </c>
    </row>
    <row r="17">
      <c r="A17" s="4" t="inlineStr">
        <is>
          <t>Rivas-Vaciamadrid</t>
        </is>
      </c>
      <c r="B17" s="4" t="inlineStr">
        <is>
          <t>Sureste (A-3)</t>
        </is>
      </c>
      <c r="C17" s="5" t="n">
        <v>90973</v>
      </c>
      <c r="D17" s="5" t="n">
        <v>103148</v>
      </c>
      <c r="E17" s="6" t="n">
        <v>12175</v>
      </c>
      <c r="F17" s="7" t="n">
        <v>0.1338309168654436</v>
      </c>
    </row>
    <row r="18">
      <c r="A18" s="4" t="inlineStr">
        <is>
          <t>Colmenar Viejo</t>
        </is>
      </c>
      <c r="B18" s="4" t="inlineStr">
        <is>
          <t>Norte (A-1)</t>
        </is>
      </c>
      <c r="C18" s="5" t="n">
        <v>51938</v>
      </c>
      <c r="D18" s="5" t="n">
        <v>58730</v>
      </c>
      <c r="E18" s="6" t="n">
        <v>6792</v>
      </c>
      <c r="F18" s="7" t="n">
        <v>0.1307713042473719</v>
      </c>
    </row>
    <row r="19">
      <c r="A19" s="4" t="inlineStr">
        <is>
          <t>Valdetorres de Jarama</t>
        </is>
      </c>
      <c r="B19" s="4" t="inlineStr">
        <is>
          <t>Norte (A-1)</t>
        </is>
      </c>
      <c r="C19" s="5" t="n">
        <v>4581</v>
      </c>
      <c r="D19" s="5" t="n">
        <v>5175</v>
      </c>
      <c r="E19" s="6" t="n">
        <v>594</v>
      </c>
      <c r="F19" s="7" t="n">
        <v>0.1296660117878193</v>
      </c>
    </row>
    <row r="20">
      <c r="A20" s="4" t="inlineStr">
        <is>
          <t>Tres Cantos</t>
        </is>
      </c>
      <c r="B20" s="4" t="inlineStr">
        <is>
          <t>Norte (A-1)</t>
        </is>
      </c>
      <c r="C20" s="5" t="n">
        <v>48326</v>
      </c>
      <c r="D20" s="5" t="n">
        <v>54592</v>
      </c>
      <c r="E20" s="6" t="n">
        <v>6266</v>
      </c>
      <c r="F20" s="7" t="n">
        <v>0.129661052021686</v>
      </c>
    </row>
    <row r="21">
      <c r="A21" s="4" t="inlineStr">
        <is>
          <t>Valdemorillo</t>
        </is>
      </c>
      <c r="B21" s="4" t="inlineStr">
        <is>
          <t>Noroeste (A-6)</t>
        </is>
      </c>
      <c r="C21" s="5" t="n">
        <v>12772</v>
      </c>
      <c r="D21" s="5" t="n">
        <v>14420</v>
      </c>
      <c r="E21" s="6" t="n">
        <v>1648</v>
      </c>
      <c r="F21" s="7" t="n">
        <v>0.1290322580645161</v>
      </c>
    </row>
    <row r="22">
      <c r="A22" s="4" t="inlineStr">
        <is>
          <t>Casarrubuelos</t>
        </is>
      </c>
      <c r="B22" s="4" t="inlineStr">
        <is>
          <t>Sur (A-4/A-42)</t>
        </is>
      </c>
      <c r="C22" s="5" t="n">
        <v>3845</v>
      </c>
      <c r="D22" s="5" t="n">
        <v>4323</v>
      </c>
      <c r="E22" s="6" t="n">
        <v>478</v>
      </c>
      <c r="F22" s="7" t="n">
        <v>0.1243172951885566</v>
      </c>
    </row>
    <row r="23">
      <c r="A23" s="4" t="inlineStr">
        <is>
          <t>Camarma de Esteruelas</t>
        </is>
      </c>
      <c r="B23" s="4" t="inlineStr">
        <is>
          <t>Henares (E)</t>
        </is>
      </c>
      <c r="C23" s="5" t="n">
        <v>7437</v>
      </c>
      <c r="D23" s="5" t="n">
        <v>8331</v>
      </c>
      <c r="E23" s="6" t="n">
        <v>894</v>
      </c>
      <c r="F23" s="7" t="n">
        <v>0.1202097620008068</v>
      </c>
    </row>
    <row r="24">
      <c r="A24" s="4" t="inlineStr">
        <is>
          <t>Colmenar de Oreja</t>
        </is>
      </c>
      <c r="B24" s="4" t="inlineStr">
        <is>
          <t>Sureste (A-3)</t>
        </is>
      </c>
      <c r="C24" s="5" t="n">
        <v>8154</v>
      </c>
      <c r="D24" s="5" t="n">
        <v>9127</v>
      </c>
      <c r="E24" s="6" t="n">
        <v>973</v>
      </c>
      <c r="F24" s="7" t="n">
        <v>0.1193279372087319</v>
      </c>
    </row>
    <row r="27">
      <c r="A27" s="13" t="inlineStr">
        <is>
          <t>TOP 20 crecimiento ABSOLUTO (todos)</t>
        </is>
      </c>
    </row>
    <row r="28">
      <c r="A28" s="14" t="inlineStr">
        <is>
          <t>Municipio</t>
        </is>
      </c>
      <c r="B28" s="14" t="inlineStr">
        <is>
          <t>Eje</t>
        </is>
      </c>
      <c r="C28" s="14" t="inlineStr">
        <is>
          <t>2020</t>
        </is>
      </c>
      <c r="D28" s="14" t="inlineStr">
        <is>
          <t>2025</t>
        </is>
      </c>
      <c r="E28" s="14" t="inlineStr">
        <is>
          <t>Δ abs</t>
        </is>
      </c>
      <c r="F28" s="14" t="inlineStr">
        <is>
          <t>Δ%</t>
        </is>
      </c>
    </row>
    <row r="29">
      <c r="A29" s="4" t="inlineStr">
        <is>
          <t>Madrid</t>
        </is>
      </c>
      <c r="B29" s="4" t="inlineStr">
        <is>
          <t>Sierra Norte / Rural</t>
        </is>
      </c>
      <c r="C29" s="5" t="n">
        <v>3334730</v>
      </c>
      <c r="D29" s="5" t="n">
        <v>3506730</v>
      </c>
      <c r="E29" s="6" t="n">
        <v>172000</v>
      </c>
      <c r="F29" s="7" t="n">
        <v>0.05157838865515349</v>
      </c>
    </row>
    <row r="30">
      <c r="A30" s="4" t="inlineStr">
        <is>
          <t>Rivas-Vaciamadrid</t>
        </is>
      </c>
      <c r="B30" s="4" t="inlineStr">
        <is>
          <t>Sureste (A-3)</t>
        </is>
      </c>
      <c r="C30" s="5" t="n">
        <v>90973</v>
      </c>
      <c r="D30" s="5" t="n">
        <v>103148</v>
      </c>
      <c r="E30" s="6" t="n">
        <v>12175</v>
      </c>
      <c r="F30" s="7" t="n">
        <v>0.1338309168654436</v>
      </c>
    </row>
    <row r="31">
      <c r="A31" s="4" t="inlineStr">
        <is>
          <t>Torrejón de Ardoz</t>
        </is>
      </c>
      <c r="B31" s="4" t="inlineStr">
        <is>
          <t>Henares (E)</t>
        </is>
      </c>
      <c r="C31" s="5" t="n">
        <v>132853</v>
      </c>
      <c r="D31" s="5" t="n">
        <v>143526</v>
      </c>
      <c r="E31" s="6" t="n">
        <v>10673</v>
      </c>
      <c r="F31" s="7" t="n">
        <v>0.08033691373171852</v>
      </c>
    </row>
    <row r="32">
      <c r="A32" s="4" t="inlineStr">
        <is>
          <t>Boadilla del Monte</t>
        </is>
      </c>
      <c r="B32" s="4" t="inlineStr">
        <is>
          <t>Noroeste (A-6)</t>
        </is>
      </c>
      <c r="C32" s="5" t="n">
        <v>56734</v>
      </c>
      <c r="D32" s="5" t="n">
        <v>66349</v>
      </c>
      <c r="E32" s="6" t="n">
        <v>9615</v>
      </c>
      <c r="F32" s="7" t="n">
        <v>0.1694750942997145</v>
      </c>
    </row>
    <row r="33">
      <c r="A33" s="4" t="inlineStr">
        <is>
          <t>Valdemoro</t>
        </is>
      </c>
      <c r="B33" s="4" t="inlineStr">
        <is>
          <t>Sur (A-4/A-42)</t>
        </is>
      </c>
      <c r="C33" s="5" t="n">
        <v>77270</v>
      </c>
      <c r="D33" s="5" t="n">
        <v>85972</v>
      </c>
      <c r="E33" s="6" t="n">
        <v>8702</v>
      </c>
      <c r="F33" s="7" t="n">
        <v>0.1126180924032613</v>
      </c>
    </row>
    <row r="34">
      <c r="A34" s="4" t="inlineStr">
        <is>
          <t>Getafe</t>
        </is>
      </c>
      <c r="B34" s="4" t="inlineStr">
        <is>
          <t>Sur (A-4/A-42)</t>
        </is>
      </c>
      <c r="C34" s="5" t="n">
        <v>185180</v>
      </c>
      <c r="D34" s="5" t="n">
        <v>193238</v>
      </c>
      <c r="E34" s="6" t="n">
        <v>8058</v>
      </c>
      <c r="F34" s="7" t="n">
        <v>0.0435144184037153</v>
      </c>
    </row>
    <row r="35">
      <c r="A35" s="4" t="inlineStr">
        <is>
          <t>Colmenar Viejo</t>
        </is>
      </c>
      <c r="B35" s="4" t="inlineStr">
        <is>
          <t>Norte (A-1)</t>
        </is>
      </c>
      <c r="C35" s="5" t="n">
        <v>51938</v>
      </c>
      <c r="D35" s="5" t="n">
        <v>58730</v>
      </c>
      <c r="E35" s="6" t="n">
        <v>6792</v>
      </c>
      <c r="F35" s="7" t="n">
        <v>0.1307713042473719</v>
      </c>
    </row>
    <row r="36">
      <c r="A36" s="4" t="inlineStr">
        <is>
          <t>Tres Cantos</t>
        </is>
      </c>
      <c r="B36" s="4" t="inlineStr">
        <is>
          <t>Norte (A-1)</t>
        </is>
      </c>
      <c r="C36" s="5" t="n">
        <v>48326</v>
      </c>
      <c r="D36" s="5" t="n">
        <v>54592</v>
      </c>
      <c r="E36" s="6" t="n">
        <v>6266</v>
      </c>
      <c r="F36" s="7" t="n">
        <v>0.129661052021686</v>
      </c>
    </row>
    <row r="37">
      <c r="A37" s="4" t="inlineStr">
        <is>
          <t>San Sebastián de los Reyes</t>
        </is>
      </c>
      <c r="B37" s="4" t="inlineStr">
        <is>
          <t>Norte (A-1)</t>
        </is>
      </c>
      <c r="C37" s="5" t="n">
        <v>91224</v>
      </c>
      <c r="D37" s="5" t="n">
        <v>96992</v>
      </c>
      <c r="E37" s="6" t="n">
        <v>5768</v>
      </c>
      <c r="F37" s="7" t="n">
        <v>0.06322897483118478</v>
      </c>
    </row>
    <row r="38">
      <c r="A38" s="4" t="inlineStr">
        <is>
          <t>Alcalá de Henares</t>
        </is>
      </c>
      <c r="B38" s="4" t="inlineStr">
        <is>
          <t>Henares (E)</t>
        </is>
      </c>
      <c r="C38" s="5" t="n">
        <v>197562</v>
      </c>
      <c r="D38" s="5" t="n">
        <v>203208</v>
      </c>
      <c r="E38" s="6" t="n">
        <v>5646</v>
      </c>
      <c r="F38" s="7" t="n">
        <v>0.02857837033437604</v>
      </c>
    </row>
    <row r="39">
      <c r="A39" s="4" t="inlineStr">
        <is>
          <t>Arroyomolinos</t>
        </is>
      </c>
      <c r="B39" s="4" t="inlineStr">
        <is>
          <t>Sudoeste (A-5)</t>
        </is>
      </c>
      <c r="C39" s="5" t="n">
        <v>32935</v>
      </c>
      <c r="D39" s="5" t="n">
        <v>38075</v>
      </c>
      <c r="E39" s="6" t="n">
        <v>5140</v>
      </c>
      <c r="F39" s="7" t="n">
        <v>0.1560649764688022</v>
      </c>
    </row>
    <row r="40">
      <c r="A40" s="4" t="inlineStr">
        <is>
          <t>Alcobendas</t>
        </is>
      </c>
      <c r="B40" s="4" t="inlineStr">
        <is>
          <t>Norte (A-1)</t>
        </is>
      </c>
      <c r="C40" s="5" t="n">
        <v>118417</v>
      </c>
      <c r="D40" s="5" t="n">
        <v>123342</v>
      </c>
      <c r="E40" s="6" t="n">
        <v>4925</v>
      </c>
      <c r="F40" s="7" t="n">
        <v>0.04159031220179535</v>
      </c>
    </row>
    <row r="41">
      <c r="A41" s="4" t="inlineStr">
        <is>
          <t>Leganés</t>
        </is>
      </c>
      <c r="B41" s="4" t="inlineStr">
        <is>
          <t>Sur (A-4/A-42)</t>
        </is>
      </c>
      <c r="C41" s="5" t="n">
        <v>191114</v>
      </c>
      <c r="D41" s="5" t="n">
        <v>195734</v>
      </c>
      <c r="E41" s="6" t="n">
        <v>4620</v>
      </c>
      <c r="F41" s="7" t="n">
        <v>0.024174053182917</v>
      </c>
    </row>
    <row r="42">
      <c r="A42" s="4" t="inlineStr">
        <is>
          <t>Móstoles</t>
        </is>
      </c>
      <c r="B42" s="4" t="inlineStr">
        <is>
          <t>Sur (A-4/A-42)</t>
        </is>
      </c>
      <c r="C42" s="5" t="n">
        <v>210309</v>
      </c>
      <c r="D42" s="5" t="n">
        <v>214817</v>
      </c>
      <c r="E42" s="6" t="n">
        <v>4508</v>
      </c>
      <c r="F42" s="7" t="n">
        <v>0.02143512640923593</v>
      </c>
    </row>
    <row r="43">
      <c r="A43" s="4" t="inlineStr">
        <is>
          <t>Villalbilla</t>
        </is>
      </c>
      <c r="B43" s="4" t="inlineStr">
        <is>
          <t>Henares (E)</t>
        </is>
      </c>
      <c r="C43" s="5" t="n">
        <v>14392</v>
      </c>
      <c r="D43" s="5" t="n">
        <v>18687</v>
      </c>
      <c r="E43" s="6" t="n">
        <v>4295</v>
      </c>
      <c r="F43" s="7" t="n">
        <v>0.2984296831573096</v>
      </c>
    </row>
    <row r="44">
      <c r="A44" s="4" t="inlineStr">
        <is>
          <t>Parla</t>
        </is>
      </c>
      <c r="B44" s="4" t="inlineStr">
        <is>
          <t>Sur (A-4/A-42)</t>
        </is>
      </c>
      <c r="C44" s="5" t="n">
        <v>133482</v>
      </c>
      <c r="D44" s="5" t="n">
        <v>137471</v>
      </c>
      <c r="E44" s="6" t="n">
        <v>3989</v>
      </c>
      <c r="F44" s="7" t="n">
        <v>0.02988417914025861</v>
      </c>
    </row>
    <row r="45">
      <c r="A45" s="4" t="inlineStr">
        <is>
          <t>Arganda del Rey</t>
        </is>
      </c>
      <c r="B45" s="4" t="inlineStr">
        <is>
          <t>Sureste (A-3)</t>
        </is>
      </c>
      <c r="C45" s="5" t="n">
        <v>56678</v>
      </c>
      <c r="D45" s="5" t="n">
        <v>60419</v>
      </c>
      <c r="E45" s="6" t="n">
        <v>3741</v>
      </c>
      <c r="F45" s="7" t="n">
        <v>0.06600444616958961</v>
      </c>
    </row>
    <row r="46">
      <c r="A46" s="4" t="inlineStr">
        <is>
          <t>Navalcarnero</t>
        </is>
      </c>
      <c r="B46" s="4" t="inlineStr">
        <is>
          <t>Sudoeste (A-5)</t>
        </is>
      </c>
      <c r="C46" s="5" t="n">
        <v>29985</v>
      </c>
      <c r="D46" s="5" t="n">
        <v>33331</v>
      </c>
      <c r="E46" s="6" t="n">
        <v>3346</v>
      </c>
      <c r="F46" s="7" t="n">
        <v>0.111589127897282</v>
      </c>
    </row>
    <row r="47">
      <c r="A47" s="4" t="inlineStr">
        <is>
          <t>Alcorcón</t>
        </is>
      </c>
      <c r="B47" s="4" t="inlineStr">
        <is>
          <t>Sur (A-4/A-42)</t>
        </is>
      </c>
      <c r="C47" s="5" t="n">
        <v>172384</v>
      </c>
      <c r="D47" s="5" t="n">
        <v>175719</v>
      </c>
      <c r="E47" s="6" t="n">
        <v>3335</v>
      </c>
      <c r="F47" s="7" t="n">
        <v>0.01934634304807871</v>
      </c>
    </row>
    <row r="48">
      <c r="A48" s="4" t="inlineStr">
        <is>
          <t>Pinto</t>
        </is>
      </c>
      <c r="B48" s="4" t="inlineStr">
        <is>
          <t>Sur (A-4/A-42)</t>
        </is>
      </c>
      <c r="C48" s="5" t="n">
        <v>53325</v>
      </c>
      <c r="D48" s="5" t="n">
        <v>56651</v>
      </c>
      <c r="E48" s="6" t="n">
        <v>3326</v>
      </c>
      <c r="F48" s="7" t="n">
        <v>0.0623722456633849</v>
      </c>
    </row>
    <row r="51">
      <c r="A51" s="13" t="inlineStr">
        <is>
          <t>Estancados o en descenso (≥3.000 hab)</t>
        </is>
      </c>
    </row>
    <row r="52">
      <c r="A52" s="14" t="inlineStr">
        <is>
          <t>Municipio</t>
        </is>
      </c>
      <c r="B52" s="14" t="inlineStr">
        <is>
          <t>Eje</t>
        </is>
      </c>
      <c r="C52" s="14" t="inlineStr">
        <is>
          <t>2020</t>
        </is>
      </c>
      <c r="D52" s="14" t="inlineStr">
        <is>
          <t>2025</t>
        </is>
      </c>
      <c r="E52" s="14" t="inlineStr">
        <is>
          <t>Δ abs</t>
        </is>
      </c>
      <c r="F52" s="14" t="inlineStr">
        <is>
          <t>Δ%</t>
        </is>
      </c>
    </row>
    <row r="53">
      <c r="A53" s="4" t="inlineStr">
        <is>
          <t>Fuenlabrada</t>
        </is>
      </c>
      <c r="B53" s="4" t="inlineStr">
        <is>
          <t>Sur (A-4/A-42)</t>
        </is>
      </c>
      <c r="C53" s="5" t="n">
        <v>194514</v>
      </c>
      <c r="D53" s="5" t="n">
        <v>190076</v>
      </c>
      <c r="E53" s="6" t="n">
        <v>-4438</v>
      </c>
      <c r="F53" s="7" t="n">
        <v>-0.02281583844864637</v>
      </c>
    </row>
    <row r="54">
      <c r="A54" s="4" t="inlineStr">
        <is>
          <t>San Fernando de Henares</t>
        </is>
      </c>
      <c r="B54" s="4" t="inlineStr">
        <is>
          <t>Henares (E)</t>
        </is>
      </c>
      <c r="C54" s="5" t="n">
        <v>39566</v>
      </c>
      <c r="D54" s="5" t="n">
        <v>39059</v>
      </c>
      <c r="E54" s="6" t="n">
        <v>-507</v>
      </c>
      <c r="F54" s="7" t="n">
        <v>-0.01281403224991154</v>
      </c>
    </row>
    <row r="55">
      <c r="A55" s="4" t="inlineStr">
        <is>
          <t>Coslada</t>
        </is>
      </c>
      <c r="B55" s="4" t="inlineStr">
        <is>
          <t>Henares (E)</t>
        </is>
      </c>
      <c r="C55" s="5" t="n">
        <v>81391</v>
      </c>
      <c r="D55" s="5" t="n">
        <v>80512</v>
      </c>
      <c r="E55" s="6" t="n">
        <v>-879</v>
      </c>
      <c r="F55" s="7" t="n">
        <v>-0.01079971987074738</v>
      </c>
    </row>
    <row r="56">
      <c r="A56" s="4" t="inlineStr">
        <is>
          <t>Torres de la Alameda</t>
        </is>
      </c>
      <c r="B56" s="4" t="inlineStr">
        <is>
          <t>Henares (E)</t>
        </is>
      </c>
      <c r="C56" s="5" t="n">
        <v>7833</v>
      </c>
      <c r="D56" s="5" t="n">
        <v>7824</v>
      </c>
      <c r="E56" s="6" t="n">
        <v>-9</v>
      </c>
      <c r="F56" s="7" t="n">
        <v>-0.001148985063194179</v>
      </c>
    </row>
    <row r="57">
      <c r="A57" s="4" t="inlineStr">
        <is>
          <t>Algete</t>
        </is>
      </c>
      <c r="B57" s="4" t="inlineStr">
        <is>
          <t>Norte (A-1)</t>
        </is>
      </c>
      <c r="C57" s="5" t="n">
        <v>20864</v>
      </c>
      <c r="D57" s="5" t="n">
        <v>21144</v>
      </c>
      <c r="E57" s="6" t="n">
        <v>280</v>
      </c>
      <c r="F57" s="7" t="n">
        <v>0.013420245398773</v>
      </c>
    </row>
    <row r="58">
      <c r="A58" s="4" t="inlineStr">
        <is>
          <t>San Lorenzo de El Escorial</t>
        </is>
      </c>
      <c r="B58" s="4" t="inlineStr">
        <is>
          <t>Noroeste (A-6)</t>
        </is>
      </c>
      <c r="C58" s="5" t="n">
        <v>18532</v>
      </c>
      <c r="D58" s="5" t="n">
        <v>18872</v>
      </c>
      <c r="E58" s="6" t="n">
        <v>340</v>
      </c>
      <c r="F58" s="7" t="n">
        <v>0.01834664364342758</v>
      </c>
    </row>
    <row r="59">
      <c r="A59" s="4" t="inlineStr">
        <is>
          <t>Alcorcón</t>
        </is>
      </c>
      <c r="B59" s="4" t="inlineStr">
        <is>
          <t>Sur (A-4/A-42)</t>
        </is>
      </c>
      <c r="C59" s="5" t="n">
        <v>172384</v>
      </c>
      <c r="D59" s="5" t="n">
        <v>175719</v>
      </c>
      <c r="E59" s="6" t="n">
        <v>3335</v>
      </c>
      <c r="F59" s="7" t="n">
        <v>0.01934634304807871</v>
      </c>
    </row>
    <row r="60">
      <c r="A60" s="4" t="inlineStr">
        <is>
          <t>Majadahonda</t>
        </is>
      </c>
      <c r="B60" s="4" t="inlineStr">
        <is>
          <t>Noroeste (A-6)</t>
        </is>
      </c>
      <c r="C60" s="5" t="n">
        <v>72155</v>
      </c>
      <c r="D60" s="5" t="n">
        <v>73625</v>
      </c>
      <c r="E60" s="6" t="n">
        <v>1470</v>
      </c>
      <c r="F60" s="7" t="n">
        <v>0.02037280853717691</v>
      </c>
    </row>
    <row r="61">
      <c r="A61" s="4" t="inlineStr">
        <is>
          <t>Móstoles</t>
        </is>
      </c>
      <c r="B61" s="4" t="inlineStr">
        <is>
          <t>Sur (A-4/A-42)</t>
        </is>
      </c>
      <c r="C61" s="5" t="n">
        <v>210309</v>
      </c>
      <c r="D61" s="5" t="n">
        <v>214817</v>
      </c>
      <c r="E61" s="6" t="n">
        <v>4508</v>
      </c>
      <c r="F61" s="7" t="n">
        <v>0.02143512640923593</v>
      </c>
    </row>
    <row r="62">
      <c r="A62" s="4" t="inlineStr">
        <is>
          <t>Leganés</t>
        </is>
      </c>
      <c r="B62" s="4" t="inlineStr">
        <is>
          <t>Sur (A-4/A-42)</t>
        </is>
      </c>
      <c r="C62" s="5" t="n">
        <v>191114</v>
      </c>
      <c r="D62" s="5" t="n">
        <v>195734</v>
      </c>
      <c r="E62" s="6" t="n">
        <v>4620</v>
      </c>
      <c r="F62" s="7" t="n">
        <v>0.024174053182917</v>
      </c>
    </row>
    <row r="63">
      <c r="A63" s="4" t="inlineStr">
        <is>
          <t>Cobeña</t>
        </is>
      </c>
      <c r="B63" s="4" t="inlineStr">
        <is>
          <t>Norte (A-1)</t>
        </is>
      </c>
      <c r="C63" s="5" t="n">
        <v>7486</v>
      </c>
      <c r="D63" s="5" t="n">
        <v>7670</v>
      </c>
      <c r="E63" s="6" t="n">
        <v>184</v>
      </c>
      <c r="F63" s="7" t="n">
        <v>0.02457921453379642</v>
      </c>
    </row>
    <row r="64">
      <c r="A64" s="4" t="inlineStr">
        <is>
          <t>San Agustín del Guadalix</t>
        </is>
      </c>
      <c r="B64" s="4" t="inlineStr">
        <is>
          <t>Norte (A-1)</t>
        </is>
      </c>
      <c r="C64" s="5" t="n">
        <v>13466</v>
      </c>
      <c r="D64" s="5" t="n">
        <v>13825</v>
      </c>
      <c r="E64" s="6" t="n">
        <v>359</v>
      </c>
      <c r="F64" s="7" t="n">
        <v>0.02665973563047676</v>
      </c>
    </row>
    <row r="65">
      <c r="A65" s="4" t="inlineStr">
        <is>
          <t>Alcalá de Henares</t>
        </is>
      </c>
      <c r="B65" s="4" t="inlineStr">
        <is>
          <t>Henares (E)</t>
        </is>
      </c>
      <c r="C65" s="5" t="n">
        <v>197562</v>
      </c>
      <c r="D65" s="5" t="n">
        <v>203208</v>
      </c>
      <c r="E65" s="6" t="n">
        <v>5646</v>
      </c>
      <c r="F65" s="7" t="n">
        <v>0.02857837033437604</v>
      </c>
    </row>
    <row r="66">
      <c r="A66" s="4" t="inlineStr">
        <is>
          <t>Parla</t>
        </is>
      </c>
      <c r="B66" s="4" t="inlineStr">
        <is>
          <t>Sur (A-4/A-42)</t>
        </is>
      </c>
      <c r="C66" s="5" t="n">
        <v>133482</v>
      </c>
      <c r="D66" s="5" t="n">
        <v>137471</v>
      </c>
      <c r="E66" s="6" t="n">
        <v>3989</v>
      </c>
      <c r="F66" s="7" t="n">
        <v>0.02988417914025861</v>
      </c>
    </row>
    <row r="67">
      <c r="A67" s="4" t="inlineStr">
        <is>
          <t>Pozuelo de Alarcón</t>
        </is>
      </c>
      <c r="B67" s="4" t="inlineStr">
        <is>
          <t>Noroeste (A-6)</t>
        </is>
      </c>
      <c r="C67" s="5" t="n">
        <v>87165</v>
      </c>
      <c r="D67" s="5" t="n">
        <v>89770</v>
      </c>
      <c r="E67" s="6" t="n">
        <v>2605</v>
      </c>
      <c r="F67" s="7" t="n">
        <v>0.02988584867779499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Crecimiento por eje metropolitano 2020-2025</t>
        </is>
      </c>
    </row>
    <row r="2">
      <c r="A2" s="2" t="inlineStr">
        <is>
          <t>Agrupación analítica aproximada por corredor. 'Momentum' = crecimiento reciente (23-25) anualizado vs. total, para ver aceleración.</t>
        </is>
      </c>
    </row>
    <row r="4">
      <c r="A4" s="14" t="inlineStr">
        <is>
          <t>Eje metropolitano</t>
        </is>
      </c>
      <c r="B4" s="14" t="inlineStr">
        <is>
          <t>Nº munic.</t>
        </is>
      </c>
      <c r="C4" s="14" t="inlineStr">
        <is>
          <t>Pob. 2020</t>
        </is>
      </c>
      <c r="D4" s="14" t="inlineStr">
        <is>
          <t>Pob. 2025</t>
        </is>
      </c>
      <c r="E4" s="14" t="inlineStr">
        <is>
          <t>Δ abs</t>
        </is>
      </c>
      <c r="F4" s="14" t="inlineStr">
        <is>
          <t>Δ% 20-25</t>
        </is>
      </c>
      <c r="G4" s="14" t="inlineStr">
        <is>
          <t>Δ% 23-25</t>
        </is>
      </c>
    </row>
    <row r="5">
      <c r="A5" s="4" t="inlineStr">
        <is>
          <t>Sudoeste (A-5)</t>
        </is>
      </c>
      <c r="B5" s="15" t="n">
        <v>19</v>
      </c>
      <c r="C5" s="5" t="n">
        <v>190901</v>
      </c>
      <c r="D5" s="5" t="n">
        <v>210495</v>
      </c>
      <c r="E5" s="16" t="n">
        <v>19594</v>
      </c>
      <c r="F5" s="17" t="n">
        <v>0.102639588058732</v>
      </c>
      <c r="G5" s="17" t="n">
        <v>0.04184814888140962</v>
      </c>
    </row>
    <row r="6">
      <c r="A6" s="4" t="inlineStr">
        <is>
          <t>Sur-Sierra Oeste</t>
        </is>
      </c>
      <c r="B6" s="15" t="n">
        <v>5</v>
      </c>
      <c r="C6" s="5" t="n">
        <v>16995</v>
      </c>
      <c r="D6" s="5" t="n">
        <v>18622</v>
      </c>
      <c r="E6" s="16" t="n">
        <v>1627</v>
      </c>
      <c r="F6" s="17" t="n">
        <v>0.09573403942335981</v>
      </c>
      <c r="G6" s="17" t="n">
        <v>0.04424381764145124</v>
      </c>
    </row>
    <row r="7">
      <c r="A7" s="4" t="inlineStr">
        <is>
          <t>Sureste (A-3)</t>
        </is>
      </c>
      <c r="B7" s="15" t="n">
        <v>27</v>
      </c>
      <c r="C7" s="5" t="n">
        <v>278707</v>
      </c>
      <c r="D7" s="5" t="n">
        <v>304649</v>
      </c>
      <c r="E7" s="16" t="n">
        <v>25942</v>
      </c>
      <c r="F7" s="17" t="n">
        <v>0.09307982935484219</v>
      </c>
      <c r="G7" s="17" t="n">
        <v>0.03348621674616152</v>
      </c>
    </row>
    <row r="8">
      <c r="A8" s="4" t="inlineStr">
        <is>
          <t>Norte (A-1)</t>
        </is>
      </c>
      <c r="B8" s="15" t="n">
        <v>21</v>
      </c>
      <c r="C8" s="5" t="n">
        <v>420432</v>
      </c>
      <c r="D8" s="5" t="n">
        <v>451655</v>
      </c>
      <c r="E8" s="16" t="n">
        <v>31223</v>
      </c>
      <c r="F8" s="17" t="n">
        <v>0.07426409026905659</v>
      </c>
      <c r="G8" s="17" t="n">
        <v>0.0399057844046942</v>
      </c>
    </row>
    <row r="9">
      <c r="A9" s="4" t="inlineStr">
        <is>
          <t>Noroeste (A-6)</t>
        </is>
      </c>
      <c r="B9" s="15" t="n">
        <v>25</v>
      </c>
      <c r="C9" s="5" t="n">
        <v>588671</v>
      </c>
      <c r="D9" s="5" t="n">
        <v>623975</v>
      </c>
      <c r="E9" s="16" t="n">
        <v>35304</v>
      </c>
      <c r="F9" s="17" t="n">
        <v>0.05997237845927521</v>
      </c>
      <c r="G9" s="17" t="n">
        <v>0.02126409409099762</v>
      </c>
    </row>
    <row r="10">
      <c r="A10" s="4" t="inlineStr">
        <is>
          <t>Sierra Norte / Rural</t>
        </is>
      </c>
      <c r="B10" s="15" t="n">
        <v>40</v>
      </c>
      <c r="C10" s="5" t="n">
        <v>3384958</v>
      </c>
      <c r="D10" s="5" t="n">
        <v>3560794</v>
      </c>
      <c r="E10" s="16" t="n">
        <v>175836</v>
      </c>
      <c r="F10" s="17" t="n">
        <v>0.05194628707357669</v>
      </c>
      <c r="G10" s="17" t="n">
        <v>0.05194504399163122</v>
      </c>
    </row>
    <row r="11">
      <c r="A11" s="4" t="inlineStr">
        <is>
          <t>Henares (E)</t>
        </is>
      </c>
      <c r="B11" s="15" t="n">
        <v>23</v>
      </c>
      <c r="C11" s="5" t="n">
        <v>571568</v>
      </c>
      <c r="D11" s="5" t="n">
        <v>599164</v>
      </c>
      <c r="E11" s="16" t="n">
        <v>27596</v>
      </c>
      <c r="F11" s="17" t="n">
        <v>0.04828121938247068</v>
      </c>
      <c r="G11" s="17" t="n">
        <v>0.02757397708056787</v>
      </c>
    </row>
    <row r="12">
      <c r="A12" s="4" t="inlineStr">
        <is>
          <t>Sur (A-4/A-42)</t>
        </is>
      </c>
      <c r="B12" s="15" t="n">
        <v>19</v>
      </c>
      <c r="C12" s="5" t="n">
        <v>1327656</v>
      </c>
      <c r="D12" s="5" t="n">
        <v>1367677</v>
      </c>
      <c r="E12" s="16" t="n">
        <v>40021</v>
      </c>
      <c r="F12" s="17" t="n">
        <v>0.03014410359309942</v>
      </c>
      <c r="G12" s="17" t="n">
        <v>0.02685468751994318</v>
      </c>
    </row>
    <row r="13">
      <c r="A13" s="13" t="inlineStr">
        <is>
          <t>TOTAL CdM</t>
        </is>
      </c>
      <c r="C13" s="18" t="n">
        <v>6779888</v>
      </c>
      <c r="D13" s="18" t="n">
        <v>7137031</v>
      </c>
      <c r="E13" s="19" t="n">
        <v>357143</v>
      </c>
      <c r="F13" s="20" t="n">
        <v>0.05267682887976911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2026-07-13T20:19:51Z</dcterms:created>
  <dcterms:modified xmlns:dcterms="http://purl.org/dc/terms/" xmlns:xsi="http://www.w3.org/2001/XMLSchema-instance" xsi:type="dcterms:W3CDTF">2026-07-13T20:19:51Z</dcterms:modified>
</cp:coreProperties>
</file>