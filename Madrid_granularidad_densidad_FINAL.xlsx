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icipios CdM" sheetId="1" state="visible" r:id="rId3"/>
    <sheet name="Madrid capital (árbol)" sheetId="2" state="visible" r:id="rId4"/>
    <sheet name="Leyenda y fuentes" sheetId="3" state="visible" r:id="rId5"/>
  </sheets>
  <definedNames>
    <definedName function="false" hidden="true" localSheetId="0" name="_xlnm._FilterDatabase" vbProcedure="false">'Municipios CdM'!$A$4:$F$183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<sst xmlns="http://schemas.openxmlformats.org/spreadsheetml/2006/main" count="649" uniqueCount="498">
  <si>
    <t xml:space="preserve">Municipios de la Comunidad de Madrid — población 2025, superficie y densidad</t>
  </si>
  <si>
    <t xml:space="preserve">Ordenados por densidad (hab/km²). Población: Cifras oficiales Padrón INE a 1-ene-2025. Superficie: IGN. Relevancia = criterio de partida (editable).</t>
  </si>
  <si>
    <t xml:space="preserve">Municipio</t>
  </si>
  <si>
    <t xml:space="preserve">Población (2025)</t>
  </si>
  <si>
    <t xml:space="preserve">Superficie (km²)</t>
  </si>
  <si>
    <t xml:space="preserve">Densidad (hab/km²)</t>
  </si>
  <si>
    <t xml:space="preserve">Relevancia</t>
  </si>
  <si>
    <t xml:space="preserve">Notas</t>
  </si>
  <si>
    <t xml:space="preserve">Coslada</t>
  </si>
  <si>
    <t xml:space="preserve">Madrid</t>
  </si>
  <si>
    <t xml:space="preserve">Parla</t>
  </si>
  <si>
    <t xml:space="preserve">Alcorcón</t>
  </si>
  <si>
    <t xml:space="preserve">Fuenlabrada</t>
  </si>
  <si>
    <t xml:space="preserve">Móstoles</t>
  </si>
  <si>
    <t xml:space="preserve">Leganés</t>
  </si>
  <si>
    <t xml:space="preserve">Torrejón de Ardoz</t>
  </si>
  <si>
    <t xml:space="preserve">Alcobendas</t>
  </si>
  <si>
    <t xml:space="preserve">Collado Villalba</t>
  </si>
  <si>
    <t xml:space="preserve">Getafe</t>
  </si>
  <si>
    <t xml:space="preserve">Alcalá de Henares</t>
  </si>
  <si>
    <t xml:space="preserve">Pozuelo de Alarcón</t>
  </si>
  <si>
    <t xml:space="preserve">Majadahonda</t>
  </si>
  <si>
    <t xml:space="preserve">Arroyomolinos</t>
  </si>
  <si>
    <t xml:space="preserve">Rozas de Madrid, Las</t>
  </si>
  <si>
    <t xml:space="preserve">San Sebastián de los Reyes</t>
  </si>
  <si>
    <t xml:space="preserve">Rivas-Vaciamadrid</t>
  </si>
  <si>
    <t xml:space="preserve">Mejorada del Campo</t>
  </si>
  <si>
    <t xml:space="preserve">Tres Cantos</t>
  </si>
  <si>
    <t xml:space="preserve">Boadilla del Monte</t>
  </si>
  <si>
    <t xml:space="preserve">Valdemoro</t>
  </si>
  <si>
    <t xml:space="preserve">Alpedrete</t>
  </si>
  <si>
    <t xml:space="preserve">Torrejón de la Calzada</t>
  </si>
  <si>
    <t xml:space="preserve">Torrelodones</t>
  </si>
  <si>
    <t xml:space="preserve">Humanes de Madrid</t>
  </si>
  <si>
    <t xml:space="preserve">Velilla de San Antonio</t>
  </si>
  <si>
    <t xml:space="preserve">San Fernando de Henares</t>
  </si>
  <si>
    <t xml:space="preserve">Pinto</t>
  </si>
  <si>
    <t xml:space="preserve">Casarrubuelos</t>
  </si>
  <si>
    <t xml:space="preserve">Arganda del Rey</t>
  </si>
  <si>
    <t xml:space="preserve">Villanueva del Pardillo</t>
  </si>
  <si>
    <t xml:space="preserve">Villanueva de la Cañada</t>
  </si>
  <si>
    <t xml:space="preserve">Paracuellos de Jarama</t>
  </si>
  <si>
    <t xml:space="preserve">Griñón</t>
  </si>
  <si>
    <t xml:space="preserve">Galapagar</t>
  </si>
  <si>
    <t xml:space="preserve">Cubas de la Sagra</t>
  </si>
  <si>
    <t xml:space="preserve">Algete</t>
  </si>
  <si>
    <t xml:space="preserve">Villalbilla</t>
  </si>
  <si>
    <t xml:space="preserve">Ciempozuelos</t>
  </si>
  <si>
    <t xml:space="preserve">Álamo, El</t>
  </si>
  <si>
    <t xml:space="preserve">Meco</t>
  </si>
  <si>
    <t xml:space="preserve">Villaviciosa de Odón</t>
  </si>
  <si>
    <t xml:space="preserve">Pelayos de la Presa</t>
  </si>
  <si>
    <t xml:space="preserve">Sevilla la Nueva</t>
  </si>
  <si>
    <t xml:space="preserve">Cobeña</t>
  </si>
  <si>
    <t xml:space="preserve">Nuevo Baztán</t>
  </si>
  <si>
    <t xml:space="preserve">San Agustín del Guadalix</t>
  </si>
  <si>
    <t xml:space="preserve">Serranillos del Valle</t>
  </si>
  <si>
    <t xml:space="preserve">Moralzarzal</t>
  </si>
  <si>
    <t xml:space="preserve">Collado Mediano</t>
  </si>
  <si>
    <t xml:space="preserve">San Lorenzo de El Escorial</t>
  </si>
  <si>
    <t xml:space="preserve">Navalcarnero</t>
  </si>
  <si>
    <t xml:space="preserve">Colmenar Viejo</t>
  </si>
  <si>
    <t xml:space="preserve">Aranjuez</t>
  </si>
  <si>
    <t xml:space="preserve">Guadarrama</t>
  </si>
  <si>
    <t xml:space="preserve">Colmenarejo</t>
  </si>
  <si>
    <t xml:space="preserve">Venturada</t>
  </si>
  <si>
    <t xml:space="preserve">Escorial, El</t>
  </si>
  <si>
    <t xml:space="preserve">Ajalvir</t>
  </si>
  <si>
    <t xml:space="preserve">Daganzo de Arriba</t>
  </si>
  <si>
    <t xml:space="preserve">Molinos, Los</t>
  </si>
  <si>
    <t xml:space="preserve">Camarma de Esteruelas</t>
  </si>
  <si>
    <t xml:space="preserve">Pedrezuela</t>
  </si>
  <si>
    <t xml:space="preserve">Brunete</t>
  </si>
  <si>
    <t xml:space="preserve">Fuente el Saz de Jarama</t>
  </si>
  <si>
    <t xml:space="preserve">Becerril de la Sierra</t>
  </si>
  <si>
    <t xml:space="preserve">Boalo, El</t>
  </si>
  <si>
    <t xml:space="preserve">Soto del Real</t>
  </si>
  <si>
    <t xml:space="preserve">Cercedilla</t>
  </si>
  <si>
    <t xml:space="preserve">Loeches</t>
  </si>
  <si>
    <t xml:space="preserve">Hoyo de Manzanares</t>
  </si>
  <si>
    <t xml:space="preserve">Molar, El</t>
  </si>
  <si>
    <t xml:space="preserve">San Martín de la Vega</t>
  </si>
  <si>
    <t xml:space="preserve">Morata de Tajuña</t>
  </si>
  <si>
    <t xml:space="preserve">Torres de la Alameda</t>
  </si>
  <si>
    <t xml:space="preserve">Moraleja de Enmedio</t>
  </si>
  <si>
    <t xml:space="preserve">Valdeolmos-Alalpardo</t>
  </si>
  <si>
    <t xml:space="preserve">Quijorna</t>
  </si>
  <si>
    <t xml:space="preserve">Valdetorres de Jarama</t>
  </si>
  <si>
    <t xml:space="preserve">Valdemorillo</t>
  </si>
  <si>
    <t xml:space="preserve">Navalafuente</t>
  </si>
  <si>
    <t xml:space="preserve">Titulcia</t>
  </si>
  <si>
    <t xml:space="preserve">Miraflores de la Sierra</t>
  </si>
  <si>
    <t xml:space="preserve">Cabrera, La</t>
  </si>
  <si>
    <t xml:space="preserve">Navacerrada</t>
  </si>
  <si>
    <t xml:space="preserve">Torrelaguna</t>
  </si>
  <si>
    <t xml:space="preserve">Talamanca de Jarama</t>
  </si>
  <si>
    <t xml:space="preserve">Guadalix de la Sierra</t>
  </si>
  <si>
    <t xml:space="preserve">Campo Real</t>
  </si>
  <si>
    <t xml:space="preserve">Tielmes</t>
  </si>
  <si>
    <t xml:space="preserve">Villaconejos</t>
  </si>
  <si>
    <t xml:space="preserve">Chapinería</t>
  </si>
  <si>
    <t xml:space="preserve">Valdeavero</t>
  </si>
  <si>
    <t xml:space="preserve">Villa del Prado</t>
  </si>
  <si>
    <t xml:space="preserve">Zarzalejo</t>
  </si>
  <si>
    <t xml:space="preserve">Torrejón de Velasco</t>
  </si>
  <si>
    <t xml:space="preserve">Batres</t>
  </si>
  <si>
    <t xml:space="preserve">Villar del Olmo</t>
  </si>
  <si>
    <t xml:space="preserve">Belmonte de Tajo</t>
  </si>
  <si>
    <t xml:space="preserve">Santos de la Humosa, Los</t>
  </si>
  <si>
    <t xml:space="preserve">Fresno de Torote</t>
  </si>
  <si>
    <t xml:space="preserve">San Martín de Valdeiglesias</t>
  </si>
  <si>
    <t xml:space="preserve">Colmenar de Oreja</t>
  </si>
  <si>
    <t xml:space="preserve">Valdilecha</t>
  </si>
  <si>
    <t xml:space="preserve">Buitrago del Lozoya</t>
  </si>
  <si>
    <t xml:space="preserve">Manzanares el Real</t>
  </si>
  <si>
    <t xml:space="preserve">Orusco de Tajuña</t>
  </si>
  <si>
    <t xml:space="preserve">Cadalso de los Vidrios</t>
  </si>
  <si>
    <t xml:space="preserve">Villamantilla</t>
  </si>
  <si>
    <t xml:space="preserve">Cabanillas de la Sierra</t>
  </si>
  <si>
    <t xml:space="preserve">Villarejo de Salvanés</t>
  </si>
  <si>
    <t xml:space="preserve">Aldea del Fresno</t>
  </si>
  <si>
    <t xml:space="preserve">Navas del Rey</t>
  </si>
  <si>
    <t xml:space="preserve">Vellón, El</t>
  </si>
  <si>
    <t xml:space="preserve">Fresnedillas de la Oliva</t>
  </si>
  <si>
    <t xml:space="preserve">Perales de Tajuña</t>
  </si>
  <si>
    <t xml:space="preserve">Anchuelo</t>
  </si>
  <si>
    <t xml:space="preserve">Torremocha de Jarama</t>
  </si>
  <si>
    <t xml:space="preserve">Valdemanco</t>
  </si>
  <si>
    <t xml:space="preserve">Villanueva de Perales</t>
  </si>
  <si>
    <t xml:space="preserve">Robledo de Chavela</t>
  </si>
  <si>
    <t xml:space="preserve">Carabaña</t>
  </si>
  <si>
    <t xml:space="preserve">Bustarviejo</t>
  </si>
  <si>
    <t xml:space="preserve">Chinchón</t>
  </si>
  <si>
    <t xml:space="preserve">Villamanta</t>
  </si>
  <si>
    <t xml:space="preserve">Pozuelo del Rey</t>
  </si>
  <si>
    <t xml:space="preserve">Valverde de Alcalá</t>
  </si>
  <si>
    <t xml:space="preserve">Navalagamella</t>
  </si>
  <si>
    <t xml:space="preserve">Colmenar del Arroyo</t>
  </si>
  <si>
    <t xml:space="preserve">Fuentidueña de Tajo</t>
  </si>
  <si>
    <t xml:space="preserve">Santorcaz</t>
  </si>
  <si>
    <t xml:space="preserve">Valdepiélagos</t>
  </si>
  <si>
    <t xml:space="preserve">Corpa</t>
  </si>
  <si>
    <t xml:space="preserve">Cenicientos</t>
  </si>
  <si>
    <t xml:space="preserve">Villamanrique de Tajo</t>
  </si>
  <si>
    <t xml:space="preserve">Lozoyuela-Navas-Sieteiglesias</t>
  </si>
  <si>
    <t xml:space="preserve">Ribatejada</t>
  </si>
  <si>
    <t xml:space="preserve">Ambite</t>
  </si>
  <si>
    <t xml:space="preserve">Berrueco, El</t>
  </si>
  <si>
    <t xml:space="preserve">Valdelaguna</t>
  </si>
  <si>
    <t xml:space="preserve">Olmeda de las Fuentes</t>
  </si>
  <si>
    <t xml:space="preserve">Pezuela de las Torres</t>
  </si>
  <si>
    <t xml:space="preserve">Redueña</t>
  </si>
  <si>
    <t xml:space="preserve">Santa María de la Alameda</t>
  </si>
  <si>
    <t xml:space="preserve">Serna del Monte, La</t>
  </si>
  <si>
    <t xml:space="preserve">Rozas de Puerto Real</t>
  </si>
  <si>
    <t xml:space="preserve">Estremera</t>
  </si>
  <si>
    <t xml:space="preserve">Patones</t>
  </si>
  <si>
    <t xml:space="preserve">Berzosa del Lozoya</t>
  </si>
  <si>
    <t xml:space="preserve">Valdemaqueda</t>
  </si>
  <si>
    <t xml:space="preserve">Gargantilla del Lozoya y Pinilla de Buitrago</t>
  </si>
  <si>
    <t xml:space="preserve">Villavieja del Lozoya</t>
  </si>
  <si>
    <t xml:space="preserve">Cervera de Buitrago</t>
  </si>
  <si>
    <t xml:space="preserve">Brea de Tajo</t>
  </si>
  <si>
    <t xml:space="preserve">Puentes Viejas</t>
  </si>
  <si>
    <t xml:space="preserve">Montejo de la Sierra</t>
  </si>
  <si>
    <t xml:space="preserve">Gascones</t>
  </si>
  <si>
    <t xml:space="preserve">Rascafría</t>
  </si>
  <si>
    <t xml:space="preserve">Garganta de los Montes</t>
  </si>
  <si>
    <t xml:space="preserve">Alameda del Valle</t>
  </si>
  <si>
    <t xml:space="preserve">Horcajo de la Sierra-Aoslos</t>
  </si>
  <si>
    <t xml:space="preserve">Lozoya</t>
  </si>
  <si>
    <t xml:space="preserve">Valdaracete</t>
  </si>
  <si>
    <t xml:space="preserve">Piñuécar-Gandullas</t>
  </si>
  <si>
    <t xml:space="preserve">Braojos</t>
  </si>
  <si>
    <t xml:space="preserve">Canencia</t>
  </si>
  <si>
    <t xml:space="preserve">Madarcos</t>
  </si>
  <si>
    <t xml:space="preserve">Pinilla del Valle</t>
  </si>
  <si>
    <t xml:space="preserve">Prádena del Rincón</t>
  </si>
  <si>
    <t xml:space="preserve">Navarredonda y San Mamés</t>
  </si>
  <si>
    <t xml:space="preserve">Robledillo de la Jara</t>
  </si>
  <si>
    <t xml:space="preserve">Hiruela, La</t>
  </si>
  <si>
    <t xml:space="preserve">Somosierra</t>
  </si>
  <si>
    <t xml:space="preserve">Robregordo</t>
  </si>
  <si>
    <t xml:space="preserve">Horcajuelo de la Sierra</t>
  </si>
  <si>
    <t xml:space="preserve">Atazar, El</t>
  </si>
  <si>
    <t xml:space="preserve">Acebeda, La</t>
  </si>
  <si>
    <t xml:space="preserve">Puebla de la Sierra</t>
  </si>
  <si>
    <t xml:space="preserve">Madrid capital — 21 distritos › 131 barrios (árbol jerárquico)</t>
  </si>
  <si>
    <t xml:space="preserve">Población de distrito y barrio: padrón municipal Ayto. Madrid a 1-ene-2024 (API datos.madrid.es). Superficie: Ayto. Madrid (fija). Densidad = población / superficie, calculada. Relevancia del barrio por densidad: &lt;5.000 hab/km² (naranja) = baja densidad, suelo no residencial (El Pardo, Aeropuerto, Casa de Campo, cascos históricos…); el resto, seguir.</t>
  </si>
  <si>
    <t xml:space="preserve">Distrito / Barrio</t>
  </si>
  <si>
    <t xml:space="preserve">Código</t>
  </si>
  <si>
    <t xml:space="preserve">Población</t>
  </si>
  <si>
    <t xml:space="preserve">Centro</t>
  </si>
  <si>
    <t xml:space="preserve">Distrito — seguir (alta densidad)</t>
  </si>
  <si>
    <t xml:space="preserve">    Palacio</t>
  </si>
  <si>
    <t xml:space="preserve">11</t>
  </si>
  <si>
    <t xml:space="preserve">Muy densa — seguir</t>
  </si>
  <si>
    <t xml:space="preserve">    Embajadores</t>
  </si>
  <si>
    <t xml:space="preserve">12</t>
  </si>
  <si>
    <t xml:space="preserve">    Cortes</t>
  </si>
  <si>
    <t xml:space="preserve">13</t>
  </si>
  <si>
    <t xml:space="preserve">    Justicia</t>
  </si>
  <si>
    <t xml:space="preserve">14</t>
  </si>
  <si>
    <t xml:space="preserve">    Universidad</t>
  </si>
  <si>
    <t xml:space="preserve">15</t>
  </si>
  <si>
    <t xml:space="preserve">    Sol</t>
  </si>
  <si>
    <t xml:space="preserve">16</t>
  </si>
  <si>
    <t xml:space="preserve">Arganzuela</t>
  </si>
  <si>
    <t xml:space="preserve">    Imperial</t>
  </si>
  <si>
    <t xml:space="preserve">21</t>
  </si>
  <si>
    <t xml:space="preserve">    Acacias</t>
  </si>
  <si>
    <t xml:space="preserve">22</t>
  </si>
  <si>
    <t xml:space="preserve">    Chopera</t>
  </si>
  <si>
    <t xml:space="preserve">23</t>
  </si>
  <si>
    <t xml:space="preserve">    Legazpi</t>
  </si>
  <si>
    <t xml:space="preserve">24</t>
  </si>
  <si>
    <t xml:space="preserve">Densa — seguir</t>
  </si>
  <si>
    <t xml:space="preserve">    Delicias</t>
  </si>
  <si>
    <t xml:space="preserve">25</t>
  </si>
  <si>
    <t xml:space="preserve">    Palos de la Frontera</t>
  </si>
  <si>
    <t xml:space="preserve">26</t>
  </si>
  <si>
    <t xml:space="preserve">    Atocha</t>
  </si>
  <si>
    <t xml:space="preserve">27</t>
  </si>
  <si>
    <t xml:space="preserve">Baja densidad — revisar (suelo no residencial)</t>
  </si>
  <si>
    <t xml:space="preserve">Retiro</t>
  </si>
  <si>
    <t xml:space="preserve">    Pacífico</t>
  </si>
  <si>
    <t xml:space="preserve">31</t>
  </si>
  <si>
    <t xml:space="preserve">    Adelfas</t>
  </si>
  <si>
    <t xml:space="preserve">32</t>
  </si>
  <si>
    <t xml:space="preserve">    Estrella</t>
  </si>
  <si>
    <t xml:space="preserve">33</t>
  </si>
  <si>
    <t xml:space="preserve">    Ibiza</t>
  </si>
  <si>
    <t xml:space="preserve">34</t>
  </si>
  <si>
    <t xml:space="preserve">    Jerónimos</t>
  </si>
  <si>
    <t xml:space="preserve">35</t>
  </si>
  <si>
    <t xml:space="preserve">    Niño Jesús</t>
  </si>
  <si>
    <t xml:space="preserve">36</t>
  </si>
  <si>
    <t xml:space="preserve">Salamanca</t>
  </si>
  <si>
    <t xml:space="preserve">    Recoletos</t>
  </si>
  <si>
    <t xml:space="preserve">41</t>
  </si>
  <si>
    <t xml:space="preserve">    Goya</t>
  </si>
  <si>
    <t xml:space="preserve">42</t>
  </si>
  <si>
    <t xml:space="preserve">    Fuente del Berro</t>
  </si>
  <si>
    <t xml:space="preserve">43</t>
  </si>
  <si>
    <t xml:space="preserve">    La Guindalera</t>
  </si>
  <si>
    <t xml:space="preserve">44</t>
  </si>
  <si>
    <t xml:space="preserve">    Lista</t>
  </si>
  <si>
    <t xml:space="preserve">45</t>
  </si>
  <si>
    <t xml:space="preserve">    Castellana</t>
  </si>
  <si>
    <t xml:space="preserve">46</t>
  </si>
  <si>
    <t xml:space="preserve">Chamartín</t>
  </si>
  <si>
    <t xml:space="preserve">    El Viso</t>
  </si>
  <si>
    <t xml:space="preserve">51</t>
  </si>
  <si>
    <t xml:space="preserve">    Prosperidad</t>
  </si>
  <si>
    <t xml:space="preserve">52</t>
  </si>
  <si>
    <t xml:space="preserve">    Ciudad Jardín</t>
  </si>
  <si>
    <t xml:space="preserve">53</t>
  </si>
  <si>
    <t xml:space="preserve">    Hispanoamérica</t>
  </si>
  <si>
    <t xml:space="preserve">54</t>
  </si>
  <si>
    <t xml:space="preserve">    Nueva España</t>
  </si>
  <si>
    <t xml:space="preserve">55</t>
  </si>
  <si>
    <t xml:space="preserve">    Castilla</t>
  </si>
  <si>
    <t xml:space="preserve">56</t>
  </si>
  <si>
    <t xml:space="preserve">Tetuán</t>
  </si>
  <si>
    <t xml:space="preserve">    Bellas Vistas</t>
  </si>
  <si>
    <t xml:space="preserve">61</t>
  </si>
  <si>
    <t xml:space="preserve">    Cuatro Caminos</t>
  </si>
  <si>
    <t xml:space="preserve">62</t>
  </si>
  <si>
    <t xml:space="preserve">    Castillejos</t>
  </si>
  <si>
    <t xml:space="preserve">63</t>
  </si>
  <si>
    <t xml:space="preserve">    Almenara</t>
  </si>
  <si>
    <t xml:space="preserve">64</t>
  </si>
  <si>
    <t xml:space="preserve">    Valdeacederas</t>
  </si>
  <si>
    <t xml:space="preserve">65</t>
  </si>
  <si>
    <t xml:space="preserve">    Berruguete</t>
  </si>
  <si>
    <t xml:space="preserve">66</t>
  </si>
  <si>
    <t xml:space="preserve">Chamberí</t>
  </si>
  <si>
    <t xml:space="preserve">    Gaztambide</t>
  </si>
  <si>
    <t xml:space="preserve">71</t>
  </si>
  <si>
    <t xml:space="preserve">    Arapiles</t>
  </si>
  <si>
    <t xml:space="preserve">72</t>
  </si>
  <si>
    <t xml:space="preserve">    Trafalgar</t>
  </si>
  <si>
    <t xml:space="preserve">73</t>
  </si>
  <si>
    <t xml:space="preserve">    Almagro</t>
  </si>
  <si>
    <t xml:space="preserve">74</t>
  </si>
  <si>
    <t xml:space="preserve">    Ríos Rosas</t>
  </si>
  <si>
    <t xml:space="preserve">75</t>
  </si>
  <si>
    <t xml:space="preserve">    Vallehermoso</t>
  </si>
  <si>
    <t xml:space="preserve">76</t>
  </si>
  <si>
    <t xml:space="preserve">Fuencarral-El Pardo</t>
  </si>
  <si>
    <t xml:space="preserve">    El Pardo</t>
  </si>
  <si>
    <t xml:space="preserve">81</t>
  </si>
  <si>
    <t xml:space="preserve">    Fuentelarreina</t>
  </si>
  <si>
    <t xml:space="preserve">82</t>
  </si>
  <si>
    <t xml:space="preserve">    Peñagrande</t>
  </si>
  <si>
    <t xml:space="preserve">83</t>
  </si>
  <si>
    <t xml:space="preserve">    El Pilar</t>
  </si>
  <si>
    <t xml:space="preserve">84</t>
  </si>
  <si>
    <t xml:space="preserve">    La Paz</t>
  </si>
  <si>
    <t xml:space="preserve">85</t>
  </si>
  <si>
    <t xml:space="preserve">    Valverde</t>
  </si>
  <si>
    <t xml:space="preserve">86</t>
  </si>
  <si>
    <t xml:space="preserve">    Mirasierra</t>
  </si>
  <si>
    <t xml:space="preserve">87</t>
  </si>
  <si>
    <t xml:space="preserve">    El Goloso</t>
  </si>
  <si>
    <t xml:space="preserve">88</t>
  </si>
  <si>
    <t xml:space="preserve">Moncloa-Aravaca</t>
  </si>
  <si>
    <t xml:space="preserve">    Casa de Campo</t>
  </si>
  <si>
    <t xml:space="preserve">91</t>
  </si>
  <si>
    <t xml:space="preserve">    Argüelles</t>
  </si>
  <si>
    <t xml:space="preserve">92</t>
  </si>
  <si>
    <t xml:space="preserve">    Ciudad Universitaria</t>
  </si>
  <si>
    <t xml:space="preserve">93</t>
  </si>
  <si>
    <t xml:space="preserve">    Valdezarza</t>
  </si>
  <si>
    <t xml:space="preserve">94</t>
  </si>
  <si>
    <t xml:space="preserve">    Valdemarín</t>
  </si>
  <si>
    <t xml:space="preserve">95</t>
  </si>
  <si>
    <t xml:space="preserve">    El Plantío</t>
  </si>
  <si>
    <t xml:space="preserve">96</t>
  </si>
  <si>
    <t xml:space="preserve">    Aravaca</t>
  </si>
  <si>
    <t xml:space="preserve">97</t>
  </si>
  <si>
    <t xml:space="preserve">Latina</t>
  </si>
  <si>
    <t xml:space="preserve">    Los Cármenes</t>
  </si>
  <si>
    <t xml:space="preserve">101</t>
  </si>
  <si>
    <t xml:space="preserve">    Puerta del Ángel</t>
  </si>
  <si>
    <t xml:space="preserve">102</t>
  </si>
  <si>
    <t xml:space="preserve">    Lucero</t>
  </si>
  <si>
    <t xml:space="preserve">103</t>
  </si>
  <si>
    <t xml:space="preserve">    Aluche</t>
  </si>
  <si>
    <t xml:space="preserve">104</t>
  </si>
  <si>
    <t xml:space="preserve">    Campamento</t>
  </si>
  <si>
    <t xml:space="preserve">105</t>
  </si>
  <si>
    <t xml:space="preserve">    Cuatro Vientos</t>
  </si>
  <si>
    <t xml:space="preserve">106</t>
  </si>
  <si>
    <t xml:space="preserve">    Las Águilas</t>
  </si>
  <si>
    <t xml:space="preserve">107</t>
  </si>
  <si>
    <t xml:space="preserve">Carabanchel</t>
  </si>
  <si>
    <t xml:space="preserve">    Comillas</t>
  </si>
  <si>
    <t xml:space="preserve">111</t>
  </si>
  <si>
    <t xml:space="preserve">    Opañel</t>
  </si>
  <si>
    <t xml:space="preserve">112</t>
  </si>
  <si>
    <t xml:space="preserve">    San Isidro</t>
  </si>
  <si>
    <t xml:space="preserve">113</t>
  </si>
  <si>
    <t xml:space="preserve">    Vista Alegre</t>
  </si>
  <si>
    <t xml:space="preserve">114</t>
  </si>
  <si>
    <t xml:space="preserve">    Puerta Bonita</t>
  </si>
  <si>
    <t xml:space="preserve">115</t>
  </si>
  <si>
    <t xml:space="preserve">    Buenavista</t>
  </si>
  <si>
    <t xml:space="preserve">116</t>
  </si>
  <si>
    <t xml:space="preserve">    Abrantes</t>
  </si>
  <si>
    <t xml:space="preserve">117</t>
  </si>
  <si>
    <t xml:space="preserve">Usera</t>
  </si>
  <si>
    <t xml:space="preserve">    Orcasitas</t>
  </si>
  <si>
    <t xml:space="preserve">121</t>
  </si>
  <si>
    <t xml:space="preserve">    Orcasur</t>
  </si>
  <si>
    <t xml:space="preserve">122</t>
  </si>
  <si>
    <t xml:space="preserve">    San Fermín</t>
  </si>
  <si>
    <t xml:space="preserve">123</t>
  </si>
  <si>
    <t xml:space="preserve">    Almendrales</t>
  </si>
  <si>
    <t xml:space="preserve">124</t>
  </si>
  <si>
    <t xml:space="preserve">    Moscardó</t>
  </si>
  <si>
    <t xml:space="preserve">125</t>
  </si>
  <si>
    <t xml:space="preserve">    Zofío</t>
  </si>
  <si>
    <t xml:space="preserve">126</t>
  </si>
  <si>
    <t xml:space="preserve">    Pradolongo</t>
  </si>
  <si>
    <t xml:space="preserve">127</t>
  </si>
  <si>
    <t xml:space="preserve">Puente de Vallecas</t>
  </si>
  <si>
    <t xml:space="preserve">    Entrevías</t>
  </si>
  <si>
    <t xml:space="preserve">131</t>
  </si>
  <si>
    <t xml:space="preserve">    San Diego</t>
  </si>
  <si>
    <t xml:space="preserve">132</t>
  </si>
  <si>
    <t xml:space="preserve">    Palomeras Bajas</t>
  </si>
  <si>
    <t xml:space="preserve">133</t>
  </si>
  <si>
    <t xml:space="preserve">    Palomeras Sureste</t>
  </si>
  <si>
    <t xml:space="preserve">134</t>
  </si>
  <si>
    <t xml:space="preserve">    Portazgo</t>
  </si>
  <si>
    <t xml:space="preserve">135</t>
  </si>
  <si>
    <t xml:space="preserve">    Numancia</t>
  </si>
  <si>
    <t xml:space="preserve">136</t>
  </si>
  <si>
    <t xml:space="preserve">Moratalaz</t>
  </si>
  <si>
    <t xml:space="preserve">    Pavones</t>
  </si>
  <si>
    <t xml:space="preserve">141</t>
  </si>
  <si>
    <t xml:space="preserve">    Horcajo</t>
  </si>
  <si>
    <t xml:space="preserve">142</t>
  </si>
  <si>
    <t xml:space="preserve">    Marroquina</t>
  </si>
  <si>
    <t xml:space="preserve">143</t>
  </si>
  <si>
    <t xml:space="preserve">    Media Legua</t>
  </si>
  <si>
    <t xml:space="preserve">144</t>
  </si>
  <si>
    <t xml:space="preserve">    Fontarrón</t>
  </si>
  <si>
    <t xml:space="preserve">145</t>
  </si>
  <si>
    <t xml:space="preserve">    Vinateros</t>
  </si>
  <si>
    <t xml:space="preserve">146</t>
  </si>
  <si>
    <t xml:space="preserve">Ciudad Lineal</t>
  </si>
  <si>
    <t xml:space="preserve">    Ventas</t>
  </si>
  <si>
    <t xml:space="preserve">151</t>
  </si>
  <si>
    <t xml:space="preserve">    Pueblo Nuevo</t>
  </si>
  <si>
    <t xml:space="preserve">152</t>
  </si>
  <si>
    <t xml:space="preserve">    Quintana</t>
  </si>
  <si>
    <t xml:space="preserve">153</t>
  </si>
  <si>
    <t xml:space="preserve">    Concepción</t>
  </si>
  <si>
    <t xml:space="preserve">154</t>
  </si>
  <si>
    <t xml:space="preserve">    San Pascual</t>
  </si>
  <si>
    <t xml:space="preserve">155</t>
  </si>
  <si>
    <t xml:space="preserve">    San Juan Bautista</t>
  </si>
  <si>
    <t xml:space="preserve">156</t>
  </si>
  <si>
    <t xml:space="preserve">    Colina</t>
  </si>
  <si>
    <t xml:space="preserve">157</t>
  </si>
  <si>
    <t xml:space="preserve">    Atalaya</t>
  </si>
  <si>
    <t xml:space="preserve">158</t>
  </si>
  <si>
    <t xml:space="preserve">    Costillares</t>
  </si>
  <si>
    <t xml:space="preserve">159</t>
  </si>
  <si>
    <t xml:space="preserve">Hortaleza</t>
  </si>
  <si>
    <t xml:space="preserve">    Palomas</t>
  </si>
  <si>
    <t xml:space="preserve">161</t>
  </si>
  <si>
    <t xml:space="preserve">    Piovera</t>
  </si>
  <si>
    <t xml:space="preserve">162</t>
  </si>
  <si>
    <t xml:space="preserve">    Canillas</t>
  </si>
  <si>
    <t xml:space="preserve">163</t>
  </si>
  <si>
    <t xml:space="preserve">    Pinar del Rey</t>
  </si>
  <si>
    <t xml:space="preserve">164</t>
  </si>
  <si>
    <t xml:space="preserve">    Apóstol Santiago</t>
  </si>
  <si>
    <t xml:space="preserve">165</t>
  </si>
  <si>
    <t xml:space="preserve">    Valdefuentes</t>
  </si>
  <si>
    <t xml:space="preserve">166</t>
  </si>
  <si>
    <t xml:space="preserve">Villaverde</t>
  </si>
  <si>
    <t xml:space="preserve">    Villaverde Alto</t>
  </si>
  <si>
    <t xml:space="preserve">171</t>
  </si>
  <si>
    <t xml:space="preserve">    San Cristóbal</t>
  </si>
  <si>
    <t xml:space="preserve">172</t>
  </si>
  <si>
    <t xml:space="preserve">    Butarque</t>
  </si>
  <si>
    <t xml:space="preserve">173</t>
  </si>
  <si>
    <t xml:space="preserve">    Los Rosales</t>
  </si>
  <si>
    <t xml:space="preserve">174</t>
  </si>
  <si>
    <t xml:space="preserve">    Los Ángeles</t>
  </si>
  <si>
    <t xml:space="preserve">175</t>
  </si>
  <si>
    <t xml:space="preserve">Villa de Vallecas</t>
  </si>
  <si>
    <t xml:space="preserve">    Casco Histórico de Vallecas</t>
  </si>
  <si>
    <t xml:space="preserve">181</t>
  </si>
  <si>
    <t xml:space="preserve">    Santa Eugenia</t>
  </si>
  <si>
    <t xml:space="preserve">182</t>
  </si>
  <si>
    <t xml:space="preserve">    Ensanche de Vallecas</t>
  </si>
  <si>
    <t xml:space="preserve">183</t>
  </si>
  <si>
    <t xml:space="preserve">Vicálvaro</t>
  </si>
  <si>
    <t xml:space="preserve">    Casco Histórico de Vicálvaro</t>
  </si>
  <si>
    <t xml:space="preserve">191</t>
  </si>
  <si>
    <t xml:space="preserve">    Valdebernardo</t>
  </si>
  <si>
    <t xml:space="preserve">192</t>
  </si>
  <si>
    <t xml:space="preserve">    Valderrivas</t>
  </si>
  <si>
    <t xml:space="preserve">193</t>
  </si>
  <si>
    <t xml:space="preserve">    El Cañaveral</t>
  </si>
  <si>
    <t xml:space="preserve">194</t>
  </si>
  <si>
    <t xml:space="preserve">San Blas-Canillejas</t>
  </si>
  <si>
    <t xml:space="preserve">    Simancas</t>
  </si>
  <si>
    <t xml:space="preserve">201</t>
  </si>
  <si>
    <t xml:space="preserve">    Hellín</t>
  </si>
  <si>
    <t xml:space="preserve">202</t>
  </si>
  <si>
    <t xml:space="preserve">    Amposta</t>
  </si>
  <si>
    <t xml:space="preserve">203</t>
  </si>
  <si>
    <t xml:space="preserve">    Arcos</t>
  </si>
  <si>
    <t xml:space="preserve">204</t>
  </si>
  <si>
    <t xml:space="preserve">    Rosas</t>
  </si>
  <si>
    <t xml:space="preserve">205</t>
  </si>
  <si>
    <t xml:space="preserve">    Rejas</t>
  </si>
  <si>
    <t xml:space="preserve">206</t>
  </si>
  <si>
    <t xml:space="preserve">    Canillejas</t>
  </si>
  <si>
    <t xml:space="preserve">207</t>
  </si>
  <si>
    <t xml:space="preserve">    Salvador</t>
  </si>
  <si>
    <t xml:space="preserve">208</t>
  </si>
  <si>
    <t xml:space="preserve">Barajas</t>
  </si>
  <si>
    <t xml:space="preserve">    Alameda de Osuna</t>
  </si>
  <si>
    <t xml:space="preserve">211</t>
  </si>
  <si>
    <t xml:space="preserve">    Aeropuerto</t>
  </si>
  <si>
    <t xml:space="preserve">212</t>
  </si>
  <si>
    <t xml:space="preserve">    Casco Histórico de Barajas</t>
  </si>
  <si>
    <t xml:space="preserve">213</t>
  </si>
  <si>
    <t xml:space="preserve">    Timón</t>
  </si>
  <si>
    <t xml:space="preserve">214</t>
  </si>
  <si>
    <t xml:space="preserve">    Corralejos</t>
  </si>
  <si>
    <t xml:space="preserve">215</t>
  </si>
  <si>
    <t xml:space="preserve">Leyenda, criterios y fuentes</t>
  </si>
  <si>
    <t xml:space="preserve">Relevancia — municipios</t>
  </si>
  <si>
    <t xml:space="preserve">A — seguir individual:  Población ≥ 20.000 Y densidad ≥ 1.000 hab/km².</t>
  </si>
  <si>
    <t xml:space="preserve">B — secundario / valorar:  Población ≥ 5.000 (y no A). Incluye ciudades grandes de baja densidad (Aranjuez, Colmenar Viejo).</t>
  </si>
  <si>
    <t xml:space="preserve">C — agrupar u omitir:  resto (sierra/rural, baja densidad).</t>
  </si>
  <si>
    <t xml:space="preserve">Madrid capital: se desglosa por distrito/barrio (hoja 2).</t>
  </si>
  <si>
    <t xml:space="preserve">Relevancia — barrios (por densidad)</t>
  </si>
  <si>
    <t xml:space="preserve">Muy densa / Densa — seguir: ≥ 5.000 hab/km². Barrio urbano residencial.</t>
  </si>
  <si>
    <t xml:space="preserve">Baja densidad — revisar (naranja): &lt; 5.000 hab/km². Mucho suelo no residencial (El Pardo, Aeropuerto,</t>
  </si>
  <si>
    <t xml:space="preserve">   Casa de Campo, El Goloso, El Plantío, Atocha, Sol…). Ojo: poca oferta residencial pese a la superficie.</t>
  </si>
  <si>
    <t xml:space="preserve">Fuentes</t>
  </si>
  <si>
    <t xml:space="preserve">Población municipal: Cifras oficiales Padrón INE a 1-ene-2025 (tabla INE 2881).</t>
  </si>
  <si>
    <t xml:space="preserve">Superficie municipal: Instituto Geográfico Nacional (Nomenclátor).</t>
  </si>
  <si>
    <t xml:space="preserve">Población de distritos y barrios: padrón municipal Ayto. Madrid a 1-ene-2024 (API datos.madrid.es, dataset 300557).</t>
  </si>
  <si>
    <t xml:space="preserve">Superficie de barrios: Ayto. de Madrid (Anexo:Barrios administrativos de Madrid).</t>
  </si>
  <si>
    <t xml:space="preserve">Superficie de distritos: Ayto. de Madrid (Anexo:Distritos de Madrid).</t>
  </si>
  <si>
    <t xml:space="preserve">Nota</t>
  </si>
  <si>
    <t xml:space="preserve">La población municipal (INE, 1-ene-2025) y la de la capital (Ayto, 1-ene-2024) proceden de operaciones distintas;</t>
  </si>
  <si>
    <t xml:space="preserve">por eso el total de Madrid capital difiere ligeramente entre hojas. No se ha inventado ninguna cifra.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</si>
</sst>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#,##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BDD7EE"/>
        <bgColor rgb="FFD9D9D9"/>
      </patternFill>
    </fill>
    <fill>
      <patternFill patternType="solid">
        <fgColor rgb="FFFFEB9C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80512</v>
      </c>
      <c r="C5" s="6" t="n">
        <v>12.01</v>
      </c>
      <c r="D5" s="5" t="n">
        <f aca="false">ROUND(B5/C5,0)</f>
        <v>6704</v>
      </c>
      <c r="E5" s="7" t="str">
        <f aca="false">IF(A5="Madrid","Capital — desglosar (ver hoja 2)",IF(AND(B5&gt;=20000,D5&gt;=1000),"A — seguir individual",IF(B5&gt;=5000,"B — secundario / valorar","C — agrupar u omitir")))</f>
        <v>A — seguir individual</v>
      </c>
      <c r="F5" s="4"/>
    </row>
    <row r="6" customFormat="false" ht="15" hidden="false" customHeight="false" outlineLevel="0" collapsed="false">
      <c r="A6" s="4" t="s">
        <v>9</v>
      </c>
      <c r="B6" s="5" t="n">
        <v>3506730</v>
      </c>
      <c r="C6" s="6" t="n">
        <v>605.77</v>
      </c>
      <c r="D6" s="5" t="n">
        <f aca="false">ROUND(B6/C6,0)</f>
        <v>5789</v>
      </c>
      <c r="E6" s="8" t="str">
        <f aca="false">IF(A6="Madrid","Capital — desglosar (ver hoja 2)",IF(AND(B6&gt;=20000,D6&gt;=1000),"A — seguir individual",IF(B6&gt;=5000,"B — secundario / valorar","C — agrupar u omitir")))</f>
        <v>Capital — desglosar (ver hoja 2)</v>
      </c>
      <c r="F6" s="4"/>
    </row>
    <row r="7" customFormat="false" ht="15" hidden="false" customHeight="false" outlineLevel="0" collapsed="false">
      <c r="A7" s="4" t="s">
        <v>10</v>
      </c>
      <c r="B7" s="5" t="n">
        <v>137471</v>
      </c>
      <c r="C7" s="6" t="n">
        <v>24.51</v>
      </c>
      <c r="D7" s="5" t="n">
        <f aca="false">ROUND(B7/C7,0)</f>
        <v>5609</v>
      </c>
      <c r="E7" s="7" t="str">
        <f aca="false">IF(A7="Madrid","Capital — desglosar (ver hoja 2)",IF(AND(B7&gt;=20000,D7&gt;=1000),"A — seguir individual",IF(B7&gt;=5000,"B — secundario / valorar","C — agrupar u omitir")))</f>
        <v>A — seguir individual</v>
      </c>
      <c r="F7" s="4"/>
    </row>
    <row r="8" customFormat="false" ht="15" hidden="false" customHeight="false" outlineLevel="0" collapsed="false">
      <c r="A8" s="4" t="s">
        <v>11</v>
      </c>
      <c r="B8" s="5" t="n">
        <v>175719</v>
      </c>
      <c r="C8" s="6" t="n">
        <v>33.73</v>
      </c>
      <c r="D8" s="5" t="n">
        <f aca="false">ROUND(B8/C8,0)</f>
        <v>5210</v>
      </c>
      <c r="E8" s="7" t="str">
        <f aca="false">IF(A8="Madrid","Capital — desglosar (ver hoja 2)",IF(AND(B8&gt;=20000,D8&gt;=1000),"A — seguir individual",IF(B8&gt;=5000,"B — secundario / valorar","C — agrupar u omitir")))</f>
        <v>A — seguir individual</v>
      </c>
      <c r="F8" s="4"/>
    </row>
    <row r="9" customFormat="false" ht="15" hidden="false" customHeight="false" outlineLevel="0" collapsed="false">
      <c r="A9" s="4" t="s">
        <v>12</v>
      </c>
      <c r="B9" s="5" t="n">
        <v>190076</v>
      </c>
      <c r="C9" s="6" t="n">
        <v>39.41</v>
      </c>
      <c r="D9" s="5" t="n">
        <f aca="false">ROUND(B9/C9,0)</f>
        <v>4823</v>
      </c>
      <c r="E9" s="7" t="str">
        <f aca="false">IF(A9="Madrid","Capital — desglosar (ver hoja 2)",IF(AND(B9&gt;=20000,D9&gt;=1000),"A — seguir individual",IF(B9&gt;=5000,"B — secundario / valorar","C — agrupar u omitir")))</f>
        <v>A — seguir individual</v>
      </c>
      <c r="F9" s="4"/>
    </row>
    <row r="10" customFormat="false" ht="15" hidden="false" customHeight="false" outlineLevel="0" collapsed="false">
      <c r="A10" s="4" t="s">
        <v>13</v>
      </c>
      <c r="B10" s="5" t="n">
        <v>214817</v>
      </c>
      <c r="C10" s="6" t="n">
        <v>45.36</v>
      </c>
      <c r="D10" s="5" t="n">
        <f aca="false">ROUND(B10/C10,0)</f>
        <v>4736</v>
      </c>
      <c r="E10" s="7" t="str">
        <f aca="false">IF(A10="Madrid","Capital — desglosar (ver hoja 2)",IF(AND(B10&gt;=20000,D10&gt;=1000),"A — seguir individual",IF(B10&gt;=5000,"B — secundario / valorar","C — agrupar u omitir")))</f>
        <v>A — seguir individual</v>
      </c>
      <c r="F10" s="4"/>
    </row>
    <row r="11" customFormat="false" ht="15" hidden="false" customHeight="false" outlineLevel="0" collapsed="false">
      <c r="A11" s="4" t="s">
        <v>14</v>
      </c>
      <c r="B11" s="5" t="n">
        <v>195734</v>
      </c>
      <c r="C11" s="6" t="n">
        <v>43.09</v>
      </c>
      <c r="D11" s="5" t="n">
        <f aca="false">ROUND(B11/C11,0)</f>
        <v>4542</v>
      </c>
      <c r="E11" s="7" t="str">
        <f aca="false">IF(A11="Madrid","Capital — desglosar (ver hoja 2)",IF(AND(B11&gt;=20000,D11&gt;=1000),"A — seguir individual",IF(B11&gt;=5000,"B — secundario / valorar","C — agrupar u omitir")))</f>
        <v>A — seguir individual</v>
      </c>
      <c r="F11" s="4"/>
    </row>
    <row r="12" customFormat="false" ht="15" hidden="false" customHeight="false" outlineLevel="0" collapsed="false">
      <c r="A12" s="4" t="s">
        <v>15</v>
      </c>
      <c r="B12" s="5" t="n">
        <v>143526</v>
      </c>
      <c r="C12" s="6" t="n">
        <v>32.62</v>
      </c>
      <c r="D12" s="5" t="n">
        <f aca="false">ROUND(B12/C12,0)</f>
        <v>4400</v>
      </c>
      <c r="E12" s="7" t="str">
        <f aca="false">IF(A12="Madrid","Capital — desglosar (ver hoja 2)",IF(AND(B12&gt;=20000,D12&gt;=1000),"A — seguir individual",IF(B12&gt;=5000,"B — secundario / valorar","C — agrupar u omitir")))</f>
        <v>A — seguir individual</v>
      </c>
      <c r="F12" s="4"/>
    </row>
    <row r="13" customFormat="false" ht="15" hidden="false" customHeight="false" outlineLevel="0" collapsed="false">
      <c r="A13" s="4" t="s">
        <v>16</v>
      </c>
      <c r="B13" s="5" t="n">
        <v>123342</v>
      </c>
      <c r="C13" s="6" t="n">
        <v>44.98</v>
      </c>
      <c r="D13" s="5" t="n">
        <f aca="false">ROUND(B13/C13,0)</f>
        <v>2742</v>
      </c>
      <c r="E13" s="7" t="str">
        <f aca="false">IF(A13="Madrid","Capital — desglosar (ver hoja 2)",IF(AND(B13&gt;=20000,D13&gt;=1000),"A — seguir individual",IF(B13&gt;=5000,"B — secundario / valorar","C — agrupar u omitir")))</f>
        <v>A — seguir individual</v>
      </c>
      <c r="F13" s="4"/>
    </row>
    <row r="14" customFormat="false" ht="15" hidden="false" customHeight="false" outlineLevel="0" collapsed="false">
      <c r="A14" s="4" t="s">
        <v>17</v>
      </c>
      <c r="B14" s="5" t="n">
        <v>67274</v>
      </c>
      <c r="C14" s="6" t="n">
        <v>26.52</v>
      </c>
      <c r="D14" s="5" t="n">
        <f aca="false">ROUND(B14/C14,0)</f>
        <v>2537</v>
      </c>
      <c r="E14" s="7" t="str">
        <f aca="false">IF(A14="Madrid","Capital — desglosar (ver hoja 2)",IF(AND(B14&gt;=20000,D14&gt;=1000),"A — seguir individual",IF(B14&gt;=5000,"B — secundario / valorar","C — agrupar u omitir")))</f>
        <v>A — seguir individual</v>
      </c>
      <c r="F14" s="4"/>
    </row>
    <row r="15" customFormat="false" ht="15" hidden="false" customHeight="false" outlineLevel="0" collapsed="false">
      <c r="A15" s="4" t="s">
        <v>18</v>
      </c>
      <c r="B15" s="5" t="n">
        <v>193238</v>
      </c>
      <c r="C15" s="6" t="n">
        <v>78.38</v>
      </c>
      <c r="D15" s="5" t="n">
        <f aca="false">ROUND(B15/C15,0)</f>
        <v>2465</v>
      </c>
      <c r="E15" s="7" t="str">
        <f aca="false">IF(A15="Madrid","Capital — desglosar (ver hoja 2)",IF(AND(B15&gt;=20000,D15&gt;=1000),"A — seguir individual",IF(B15&gt;=5000,"B — secundario / valorar","C — agrupar u omitir")))</f>
        <v>A — seguir individual</v>
      </c>
      <c r="F15" s="4"/>
    </row>
    <row r="16" customFormat="false" ht="15" hidden="false" customHeight="false" outlineLevel="0" collapsed="false">
      <c r="A16" s="4" t="s">
        <v>19</v>
      </c>
      <c r="B16" s="5" t="n">
        <v>203208</v>
      </c>
      <c r="C16" s="6" t="n">
        <v>87.72</v>
      </c>
      <c r="D16" s="5" t="n">
        <f aca="false">ROUND(B16/C16,0)</f>
        <v>2317</v>
      </c>
      <c r="E16" s="7" t="str">
        <f aca="false">IF(A16="Madrid","Capital — desglosar (ver hoja 2)",IF(AND(B16&gt;=20000,D16&gt;=1000),"A — seguir individual",IF(B16&gt;=5000,"B — secundario / valorar","C — agrupar u omitir")))</f>
        <v>A — seguir individual</v>
      </c>
      <c r="F16" s="4"/>
    </row>
    <row r="17" customFormat="false" ht="15" hidden="false" customHeight="false" outlineLevel="0" collapsed="false">
      <c r="A17" s="4" t="s">
        <v>20</v>
      </c>
      <c r="B17" s="5" t="n">
        <v>89770</v>
      </c>
      <c r="C17" s="6" t="n">
        <v>43.2</v>
      </c>
      <c r="D17" s="5" t="n">
        <f aca="false">ROUND(B17/C17,0)</f>
        <v>2078</v>
      </c>
      <c r="E17" s="7" t="str">
        <f aca="false">IF(A17="Madrid","Capital — desglosar (ver hoja 2)",IF(AND(B17&gt;=20000,D17&gt;=1000),"A — seguir individual",IF(B17&gt;=5000,"B — secundario / valorar","C — agrupar u omitir")))</f>
        <v>A — seguir individual</v>
      </c>
      <c r="F17" s="4"/>
    </row>
    <row r="18" customFormat="false" ht="15" hidden="false" customHeight="false" outlineLevel="0" collapsed="false">
      <c r="A18" s="4" t="s">
        <v>21</v>
      </c>
      <c r="B18" s="5" t="n">
        <v>73625</v>
      </c>
      <c r="C18" s="6" t="n">
        <v>38.47</v>
      </c>
      <c r="D18" s="5" t="n">
        <f aca="false">ROUND(B18/C18,0)</f>
        <v>1914</v>
      </c>
      <c r="E18" s="7" t="str">
        <f aca="false">IF(A18="Madrid","Capital — desglosar (ver hoja 2)",IF(AND(B18&gt;=20000,D18&gt;=1000),"A — seguir individual",IF(B18&gt;=5000,"B — secundario / valorar","C — agrupar u omitir")))</f>
        <v>A — seguir individual</v>
      </c>
      <c r="F18" s="4"/>
    </row>
    <row r="19" customFormat="false" ht="15" hidden="false" customHeight="false" outlineLevel="0" collapsed="false">
      <c r="A19" s="4" t="s">
        <v>22</v>
      </c>
      <c r="B19" s="5" t="n">
        <v>38075</v>
      </c>
      <c r="C19" s="6" t="n">
        <v>20.66</v>
      </c>
      <c r="D19" s="5" t="n">
        <f aca="false">ROUND(B19/C19,0)</f>
        <v>1843</v>
      </c>
      <c r="E19" s="7" t="str">
        <f aca="false">IF(A19="Madrid","Capital — desglosar (ver hoja 2)",IF(AND(B19&gt;=20000,D19&gt;=1000),"A — seguir individual",IF(B19&gt;=5000,"B — secundario / valorar","C — agrupar u omitir")))</f>
        <v>A — seguir individual</v>
      </c>
      <c r="F19" s="4"/>
    </row>
    <row r="20" customFormat="false" ht="15" hidden="false" customHeight="false" outlineLevel="0" collapsed="false">
      <c r="A20" s="4" t="s">
        <v>23</v>
      </c>
      <c r="B20" s="5" t="n">
        <v>99037</v>
      </c>
      <c r="C20" s="6" t="n">
        <v>58.31</v>
      </c>
      <c r="D20" s="5" t="n">
        <f aca="false">ROUND(B20/C20,0)</f>
        <v>1698</v>
      </c>
      <c r="E20" s="7" t="str">
        <f aca="false">IF(A20="Madrid","Capital — desglosar (ver hoja 2)",IF(AND(B20&gt;=20000,D20&gt;=1000),"A — seguir individual",IF(B20&gt;=5000,"B — secundario / valorar","C — agrupar u omitir")))</f>
        <v>A — seguir individual</v>
      </c>
      <c r="F20" s="4"/>
    </row>
    <row r="21" customFormat="false" ht="15" hidden="false" customHeight="false" outlineLevel="0" collapsed="false">
      <c r="A21" s="4" t="s">
        <v>24</v>
      </c>
      <c r="B21" s="5" t="n">
        <v>96992</v>
      </c>
      <c r="C21" s="6" t="n">
        <v>58.66</v>
      </c>
      <c r="D21" s="5" t="n">
        <f aca="false">ROUND(B21/C21,0)</f>
        <v>1653</v>
      </c>
      <c r="E21" s="7" t="str">
        <f aca="false">IF(A21="Madrid","Capital — desglosar (ver hoja 2)",IF(AND(B21&gt;=20000,D21&gt;=1000),"A — seguir individual",IF(B21&gt;=5000,"B — secundario / valorar","C — agrupar u omitir")))</f>
        <v>A — seguir individual</v>
      </c>
      <c r="F21" s="4"/>
    </row>
    <row r="22" customFormat="false" ht="15" hidden="false" customHeight="false" outlineLevel="0" collapsed="false">
      <c r="A22" s="4" t="s">
        <v>25</v>
      </c>
      <c r="B22" s="5" t="n">
        <v>103148</v>
      </c>
      <c r="C22" s="6" t="n">
        <v>67.38</v>
      </c>
      <c r="D22" s="5" t="n">
        <f aca="false">ROUND(B22/C22,0)</f>
        <v>1531</v>
      </c>
      <c r="E22" s="7" t="str">
        <f aca="false">IF(A22="Madrid","Capital — desglosar (ver hoja 2)",IF(AND(B22&gt;=20000,D22&gt;=1000),"A — seguir individual",IF(B22&gt;=5000,"B — secundario / valorar","C — agrupar u omitir")))</f>
        <v>A — seguir individual</v>
      </c>
      <c r="F22" s="4"/>
    </row>
    <row r="23" customFormat="false" ht="15" hidden="false" customHeight="false" outlineLevel="0" collapsed="false">
      <c r="A23" s="4" t="s">
        <v>26</v>
      </c>
      <c r="B23" s="5" t="n">
        <v>25049</v>
      </c>
      <c r="C23" s="6" t="n">
        <v>17.21</v>
      </c>
      <c r="D23" s="5" t="n">
        <f aca="false">ROUND(B23/C23,0)</f>
        <v>1455</v>
      </c>
      <c r="E23" s="7" t="str">
        <f aca="false">IF(A23="Madrid","Capital — desglosar (ver hoja 2)",IF(AND(B23&gt;=20000,D23&gt;=1000),"A — seguir individual",IF(B23&gt;=5000,"B — secundario / valorar","C — agrupar u omitir")))</f>
        <v>A — seguir individual</v>
      </c>
      <c r="F23" s="4"/>
    </row>
    <row r="24" customFormat="false" ht="15" hidden="false" customHeight="false" outlineLevel="0" collapsed="false">
      <c r="A24" s="4" t="s">
        <v>27</v>
      </c>
      <c r="B24" s="5" t="n">
        <v>54592</v>
      </c>
      <c r="C24" s="6" t="n">
        <v>37.93</v>
      </c>
      <c r="D24" s="5" t="n">
        <f aca="false">ROUND(B24/C24,0)</f>
        <v>1439</v>
      </c>
      <c r="E24" s="7" t="str">
        <f aca="false">IF(A24="Madrid","Capital — desglosar (ver hoja 2)",IF(AND(B24&gt;=20000,D24&gt;=1000),"A — seguir individual",IF(B24&gt;=5000,"B — secundario / valorar","C — agrupar u omitir")))</f>
        <v>A — seguir individual</v>
      </c>
      <c r="F24" s="4"/>
    </row>
    <row r="25" customFormat="false" ht="15" hidden="false" customHeight="false" outlineLevel="0" collapsed="false">
      <c r="A25" s="4" t="s">
        <v>28</v>
      </c>
      <c r="B25" s="5" t="n">
        <v>66349</v>
      </c>
      <c r="C25" s="6" t="n">
        <v>47.2</v>
      </c>
      <c r="D25" s="5" t="n">
        <f aca="false">ROUND(B25/C25,0)</f>
        <v>1406</v>
      </c>
      <c r="E25" s="7" t="str">
        <f aca="false">IF(A25="Madrid","Capital — desglosar (ver hoja 2)",IF(AND(B25&gt;=20000,D25&gt;=1000),"A — seguir individual",IF(B25&gt;=5000,"B — secundario / valorar","C — agrupar u omitir")))</f>
        <v>A — seguir individual</v>
      </c>
      <c r="F25" s="4"/>
    </row>
    <row r="26" customFormat="false" ht="15" hidden="false" customHeight="false" outlineLevel="0" collapsed="false">
      <c r="A26" s="4" t="s">
        <v>29</v>
      </c>
      <c r="B26" s="5" t="n">
        <v>85972</v>
      </c>
      <c r="C26" s="6" t="n">
        <v>64.17</v>
      </c>
      <c r="D26" s="5" t="n">
        <f aca="false">ROUND(B26/C26,0)</f>
        <v>1340</v>
      </c>
      <c r="E26" s="7" t="str">
        <f aca="false">IF(A26="Madrid","Capital — desglosar (ver hoja 2)",IF(AND(B26&gt;=20000,D26&gt;=1000),"A — seguir individual",IF(B26&gt;=5000,"B — secundario / valorar","C — agrupar u omitir")))</f>
        <v>A — seguir individual</v>
      </c>
      <c r="F26" s="4"/>
    </row>
    <row r="27" customFormat="false" ht="15" hidden="false" customHeight="false" outlineLevel="0" collapsed="false">
      <c r="A27" s="4" t="s">
        <v>30</v>
      </c>
      <c r="B27" s="5" t="n">
        <v>15686</v>
      </c>
      <c r="C27" s="6" t="n">
        <v>12.64</v>
      </c>
      <c r="D27" s="5" t="n">
        <f aca="false">ROUND(B27/C27,0)</f>
        <v>1241</v>
      </c>
      <c r="E27" s="9" t="str">
        <f aca="false">IF(A27="Madrid","Capital — desglosar (ver hoja 2)",IF(AND(B27&gt;=20000,D27&gt;=1000),"A — seguir individual",IF(B27&gt;=5000,"B — secundario / valorar","C — agrupar u omitir")))</f>
        <v>B — secundario / valorar</v>
      </c>
      <c r="F27" s="4"/>
    </row>
    <row r="28" customFormat="false" ht="15" hidden="false" customHeight="false" outlineLevel="0" collapsed="false">
      <c r="A28" s="4" t="s">
        <v>31</v>
      </c>
      <c r="B28" s="5" t="n">
        <v>10653</v>
      </c>
      <c r="C28" s="6" t="n">
        <v>8.98</v>
      </c>
      <c r="D28" s="5" t="n">
        <f aca="false">ROUND(B28/C28,0)</f>
        <v>1186</v>
      </c>
      <c r="E28" s="9" t="str">
        <f aca="false">IF(A28="Madrid","Capital — desglosar (ver hoja 2)",IF(AND(B28&gt;=20000,D28&gt;=1000),"A — seguir individual",IF(B28&gt;=5000,"B — secundario / valorar","C — agrupar u omitir")))</f>
        <v>B — secundario / valorar</v>
      </c>
      <c r="F28" s="4"/>
    </row>
    <row r="29" customFormat="false" ht="15" hidden="false" customHeight="false" outlineLevel="0" collapsed="false">
      <c r="A29" s="4" t="s">
        <v>32</v>
      </c>
      <c r="B29" s="5" t="n">
        <v>25433</v>
      </c>
      <c r="C29" s="6" t="n">
        <v>21.95</v>
      </c>
      <c r="D29" s="5" t="n">
        <f aca="false">ROUND(B29/C29,0)</f>
        <v>1159</v>
      </c>
      <c r="E29" s="7" t="str">
        <f aca="false">IF(A29="Madrid","Capital — desglosar (ver hoja 2)",IF(AND(B29&gt;=20000,D29&gt;=1000),"A — seguir individual",IF(B29&gt;=5000,"B — secundario / valorar","C — agrupar u omitir")))</f>
        <v>A — seguir individual</v>
      </c>
      <c r="F29" s="4"/>
    </row>
    <row r="30" customFormat="false" ht="15" hidden="false" customHeight="false" outlineLevel="0" collapsed="false">
      <c r="A30" s="4" t="s">
        <v>33</v>
      </c>
      <c r="B30" s="5" t="n">
        <v>20500</v>
      </c>
      <c r="C30" s="6" t="n">
        <v>19.46</v>
      </c>
      <c r="D30" s="5" t="n">
        <f aca="false">ROUND(B30/C30,0)</f>
        <v>1053</v>
      </c>
      <c r="E30" s="7" t="str">
        <f aca="false">IF(A30="Madrid","Capital — desglosar (ver hoja 2)",IF(AND(B30&gt;=20000,D30&gt;=1000),"A — seguir individual",IF(B30&gt;=5000,"B — secundario / valorar","C — agrupar u omitir")))</f>
        <v>A — seguir individual</v>
      </c>
      <c r="F30" s="4"/>
    </row>
    <row r="31" customFormat="false" ht="15" hidden="false" customHeight="false" outlineLevel="0" collapsed="false">
      <c r="A31" s="4" t="s">
        <v>34</v>
      </c>
      <c r="B31" s="5" t="n">
        <v>14468</v>
      </c>
      <c r="C31" s="6" t="n">
        <v>14.35</v>
      </c>
      <c r="D31" s="5" t="n">
        <f aca="false">ROUND(B31/C31,0)</f>
        <v>1008</v>
      </c>
      <c r="E31" s="9" t="str">
        <f aca="false">IF(A31="Madrid","Capital — desglosar (ver hoja 2)",IF(AND(B31&gt;=20000,D31&gt;=1000),"A — seguir individual",IF(B31&gt;=5000,"B — secundario / valorar","C — agrupar u omitir")))</f>
        <v>B — secundario / valorar</v>
      </c>
      <c r="F31" s="4"/>
    </row>
    <row r="32" customFormat="false" ht="15" hidden="false" customHeight="false" outlineLevel="0" collapsed="false">
      <c r="A32" s="4" t="s">
        <v>35</v>
      </c>
      <c r="B32" s="5" t="n">
        <v>39059</v>
      </c>
      <c r="C32" s="6" t="n">
        <v>39.86</v>
      </c>
      <c r="D32" s="5" t="n">
        <f aca="false">ROUND(B32/C32,0)</f>
        <v>980</v>
      </c>
      <c r="E32" s="9" t="str">
        <f aca="false">IF(A32="Madrid","Capital — desglosar (ver hoja 2)",IF(AND(B32&gt;=20000,D32&gt;=1000),"A — seguir individual",IF(B32&gt;=5000,"B — secundario / valorar","C — agrupar u omitir")))</f>
        <v>B — secundario / valorar</v>
      </c>
      <c r="F32" s="4"/>
    </row>
    <row r="33" customFormat="false" ht="15" hidden="false" customHeight="false" outlineLevel="0" collapsed="false">
      <c r="A33" s="4" t="s">
        <v>36</v>
      </c>
      <c r="B33" s="5" t="n">
        <v>56651</v>
      </c>
      <c r="C33" s="6" t="n">
        <v>62.04</v>
      </c>
      <c r="D33" s="5" t="n">
        <f aca="false">ROUND(B33/C33,0)</f>
        <v>913</v>
      </c>
      <c r="E33" s="9" t="str">
        <f aca="false">IF(A33="Madrid","Capital — desglosar (ver hoja 2)",IF(AND(B33&gt;=20000,D33&gt;=1000),"A — seguir individual",IF(B33&gt;=5000,"B — secundario / valorar","C — agrupar u omitir")))</f>
        <v>B — secundario / valorar</v>
      </c>
      <c r="F33" s="4"/>
    </row>
    <row r="34" customFormat="false" ht="15" hidden="false" customHeight="false" outlineLevel="0" collapsed="false">
      <c r="A34" s="4" t="s">
        <v>37</v>
      </c>
      <c r="B34" s="5" t="n">
        <v>4323</v>
      </c>
      <c r="C34" s="6" t="n">
        <v>5.32</v>
      </c>
      <c r="D34" s="5" t="n">
        <f aca="false">ROUND(B34/C34,0)</f>
        <v>813</v>
      </c>
      <c r="E34" s="10" t="str">
        <f aca="false">IF(A34="Madrid","Capital — desglosar (ver hoja 2)",IF(AND(B34&gt;=20000,D34&gt;=1000),"A — seguir individual",IF(B34&gt;=5000,"B — secundario / valorar","C — agrupar u omitir")))</f>
        <v>C — agrupar u omitir</v>
      </c>
      <c r="F34" s="4"/>
    </row>
    <row r="35" customFormat="false" ht="15" hidden="false" customHeight="false" outlineLevel="0" collapsed="false">
      <c r="A35" s="4" t="s">
        <v>38</v>
      </c>
      <c r="B35" s="5" t="n">
        <v>60419</v>
      </c>
      <c r="C35" s="6" t="n">
        <v>79.65</v>
      </c>
      <c r="D35" s="5" t="n">
        <f aca="false">ROUND(B35/C35,0)</f>
        <v>759</v>
      </c>
      <c r="E35" s="9" t="str">
        <f aca="false">IF(A35="Madrid","Capital — desglosar (ver hoja 2)",IF(AND(B35&gt;=20000,D35&gt;=1000),"A — seguir individual",IF(B35&gt;=5000,"B — secundario / valorar","C — agrupar u omitir")))</f>
        <v>B — secundario / valorar</v>
      </c>
      <c r="F35" s="4"/>
    </row>
    <row r="36" customFormat="false" ht="15" hidden="false" customHeight="false" outlineLevel="0" collapsed="false">
      <c r="A36" s="4" t="s">
        <v>39</v>
      </c>
      <c r="B36" s="5" t="n">
        <v>18466</v>
      </c>
      <c r="C36" s="6" t="n">
        <v>25.35</v>
      </c>
      <c r="D36" s="5" t="n">
        <f aca="false">ROUND(B36/C36,0)</f>
        <v>728</v>
      </c>
      <c r="E36" s="9" t="str">
        <f aca="false">IF(A36="Madrid","Capital — desglosar (ver hoja 2)",IF(AND(B36&gt;=20000,D36&gt;=1000),"A — seguir individual",IF(B36&gt;=5000,"B — secundario / valorar","C — agrupar u omitir")))</f>
        <v>B — secundario / valorar</v>
      </c>
      <c r="F36" s="4"/>
    </row>
    <row r="37" customFormat="false" ht="15" hidden="false" customHeight="false" outlineLevel="0" collapsed="false">
      <c r="A37" s="4" t="s">
        <v>40</v>
      </c>
      <c r="B37" s="5" t="n">
        <v>24028</v>
      </c>
      <c r="C37" s="6" t="n">
        <v>34.92</v>
      </c>
      <c r="D37" s="5" t="n">
        <f aca="false">ROUND(B37/C37,0)</f>
        <v>688</v>
      </c>
      <c r="E37" s="9" t="str">
        <f aca="false">IF(A37="Madrid","Capital — desglosar (ver hoja 2)",IF(AND(B37&gt;=20000,D37&gt;=1000),"A — seguir individual",IF(B37&gt;=5000,"B — secundario / valorar","C — agrupar u omitir")))</f>
        <v>B — secundario / valorar</v>
      </c>
      <c r="F37" s="4"/>
    </row>
    <row r="38" customFormat="false" ht="15" hidden="false" customHeight="false" outlineLevel="0" collapsed="false">
      <c r="A38" s="4" t="s">
        <v>41</v>
      </c>
      <c r="B38" s="5" t="n">
        <v>27650</v>
      </c>
      <c r="C38" s="6" t="n">
        <v>43.92</v>
      </c>
      <c r="D38" s="5" t="n">
        <f aca="false">ROUND(B38/C38,0)</f>
        <v>630</v>
      </c>
      <c r="E38" s="9" t="str">
        <f aca="false">IF(A38="Madrid","Capital — desglosar (ver hoja 2)",IF(AND(B38&gt;=20000,D38&gt;=1000),"A — seguir individual",IF(B38&gt;=5000,"B — secundario / valorar","C — agrupar u omitir")))</f>
        <v>B — secundario / valorar</v>
      </c>
      <c r="F38" s="4"/>
    </row>
    <row r="39" customFormat="false" ht="15" hidden="false" customHeight="false" outlineLevel="0" collapsed="false">
      <c r="A39" s="4" t="s">
        <v>42</v>
      </c>
      <c r="B39" s="5" t="n">
        <v>10799</v>
      </c>
      <c r="C39" s="6" t="n">
        <v>17.42</v>
      </c>
      <c r="D39" s="5" t="n">
        <f aca="false">ROUND(B39/C39,0)</f>
        <v>620</v>
      </c>
      <c r="E39" s="9" t="str">
        <f aca="false">IF(A39="Madrid","Capital — desglosar (ver hoja 2)",IF(AND(B39&gt;=20000,D39&gt;=1000),"A — seguir individual",IF(B39&gt;=5000,"B — secundario / valorar","C — agrupar u omitir")))</f>
        <v>B — secundario / valorar</v>
      </c>
      <c r="F39" s="4"/>
    </row>
    <row r="40" customFormat="false" ht="15" hidden="false" customHeight="false" outlineLevel="0" collapsed="false">
      <c r="A40" s="4" t="s">
        <v>43</v>
      </c>
      <c r="B40" s="5" t="n">
        <v>36758</v>
      </c>
      <c r="C40" s="6" t="n">
        <v>64.99</v>
      </c>
      <c r="D40" s="5" t="n">
        <f aca="false">ROUND(B40/C40,0)</f>
        <v>566</v>
      </c>
      <c r="E40" s="9" t="str">
        <f aca="false">IF(A40="Madrid","Capital — desglosar (ver hoja 2)",IF(AND(B40&gt;=20000,D40&gt;=1000),"A — seguir individual",IF(B40&gt;=5000,"B — secundario / valorar","C — agrupar u omitir")))</f>
        <v>B — secundario / valorar</v>
      </c>
      <c r="F40" s="4"/>
    </row>
    <row r="41" customFormat="false" ht="15" hidden="false" customHeight="false" outlineLevel="0" collapsed="false">
      <c r="A41" s="4" t="s">
        <v>44</v>
      </c>
      <c r="B41" s="5" t="n">
        <v>7238</v>
      </c>
      <c r="C41" s="6" t="n">
        <v>12.82</v>
      </c>
      <c r="D41" s="5" t="n">
        <f aca="false">ROUND(B41/C41,0)</f>
        <v>565</v>
      </c>
      <c r="E41" s="9" t="str">
        <f aca="false">IF(A41="Madrid","Capital — desglosar (ver hoja 2)",IF(AND(B41&gt;=20000,D41&gt;=1000),"A — seguir individual",IF(B41&gt;=5000,"B — secundario / valorar","C — agrupar u omitir")))</f>
        <v>B — secundario / valorar</v>
      </c>
      <c r="F41" s="4"/>
    </row>
    <row r="42" customFormat="false" ht="15" hidden="false" customHeight="false" outlineLevel="0" collapsed="false">
      <c r="A42" s="4" t="s">
        <v>45</v>
      </c>
      <c r="B42" s="5" t="n">
        <v>21144</v>
      </c>
      <c r="C42" s="6" t="n">
        <v>37.88</v>
      </c>
      <c r="D42" s="5" t="n">
        <f aca="false">ROUND(B42/C42,0)</f>
        <v>558</v>
      </c>
      <c r="E42" s="9" t="str">
        <f aca="false">IF(A42="Madrid","Capital — desglosar (ver hoja 2)",IF(AND(B42&gt;=20000,D42&gt;=1000),"A — seguir individual",IF(B42&gt;=5000,"B — secundario / valorar","C — agrupar u omitir")))</f>
        <v>B — secundario / valorar</v>
      </c>
      <c r="F42" s="4"/>
    </row>
    <row r="43" customFormat="false" ht="15" hidden="false" customHeight="false" outlineLevel="0" collapsed="false">
      <c r="A43" s="4" t="s">
        <v>46</v>
      </c>
      <c r="B43" s="5" t="n">
        <v>18687</v>
      </c>
      <c r="C43" s="6" t="n">
        <v>34.63</v>
      </c>
      <c r="D43" s="5" t="n">
        <f aca="false">ROUND(B43/C43,0)</f>
        <v>540</v>
      </c>
      <c r="E43" s="9" t="str">
        <f aca="false">IF(A43="Madrid","Capital — desglosar (ver hoja 2)",IF(AND(B43&gt;=20000,D43&gt;=1000),"A — seguir individual",IF(B43&gt;=5000,"B — secundario / valorar","C — agrupar u omitir")))</f>
        <v>B — secundario / valorar</v>
      </c>
      <c r="F43" s="4"/>
    </row>
    <row r="44" customFormat="false" ht="15" hidden="false" customHeight="false" outlineLevel="0" collapsed="false">
      <c r="A44" s="4" t="s">
        <v>47</v>
      </c>
      <c r="B44" s="5" t="n">
        <v>26350</v>
      </c>
      <c r="C44" s="6" t="n">
        <v>49.64</v>
      </c>
      <c r="D44" s="5" t="n">
        <f aca="false">ROUND(B44/C44,0)</f>
        <v>531</v>
      </c>
      <c r="E44" s="9" t="str">
        <f aca="false">IF(A44="Madrid","Capital — desglosar (ver hoja 2)",IF(AND(B44&gt;=20000,D44&gt;=1000),"A — seguir individual",IF(B44&gt;=5000,"B — secundario / valorar","C — agrupar u omitir")))</f>
        <v>B — secundario / valorar</v>
      </c>
      <c r="F44" s="4"/>
    </row>
    <row r="45" customFormat="false" ht="15" hidden="false" customHeight="false" outlineLevel="0" collapsed="false">
      <c r="A45" s="4" t="s">
        <v>48</v>
      </c>
      <c r="B45" s="5" t="n">
        <v>10594</v>
      </c>
      <c r="C45" s="6" t="n">
        <v>22.25</v>
      </c>
      <c r="D45" s="5" t="n">
        <f aca="false">ROUND(B45/C45,0)</f>
        <v>476</v>
      </c>
      <c r="E45" s="9" t="str">
        <f aca="false">IF(A45="Madrid","Capital — desglosar (ver hoja 2)",IF(AND(B45&gt;=20000,D45&gt;=1000),"A — seguir individual",IF(B45&gt;=5000,"B — secundario / valorar","C — agrupar u omitir")))</f>
        <v>B — secundario / valorar</v>
      </c>
      <c r="F45" s="4"/>
    </row>
    <row r="46" customFormat="false" ht="15" hidden="false" customHeight="false" outlineLevel="0" collapsed="false">
      <c r="A46" s="4" t="s">
        <v>49</v>
      </c>
      <c r="B46" s="5" t="n">
        <v>15922</v>
      </c>
      <c r="C46" s="6" t="n">
        <v>35.11</v>
      </c>
      <c r="D46" s="5" t="n">
        <f aca="false">ROUND(B46/C46,0)</f>
        <v>453</v>
      </c>
      <c r="E46" s="9" t="str">
        <f aca="false">IF(A46="Madrid","Capital — desglosar (ver hoja 2)",IF(AND(B46&gt;=20000,D46&gt;=1000),"A — seguir individual",IF(B46&gt;=5000,"B — secundario / valorar","C — agrupar u omitir")))</f>
        <v>B — secundario / valorar</v>
      </c>
      <c r="F46" s="4"/>
    </row>
    <row r="47" customFormat="false" ht="15" hidden="false" customHeight="false" outlineLevel="0" collapsed="false">
      <c r="A47" s="4" t="s">
        <v>50</v>
      </c>
      <c r="B47" s="5" t="n">
        <v>30127</v>
      </c>
      <c r="C47" s="6" t="n">
        <v>68.05</v>
      </c>
      <c r="D47" s="5" t="n">
        <f aca="false">ROUND(B47/C47,0)</f>
        <v>443</v>
      </c>
      <c r="E47" s="9" t="str">
        <f aca="false">IF(A47="Madrid","Capital — desglosar (ver hoja 2)",IF(AND(B47&gt;=20000,D47&gt;=1000),"A — seguir individual",IF(B47&gt;=5000,"B — secundario / valorar","C — agrupar u omitir")))</f>
        <v>B — secundario / valorar</v>
      </c>
      <c r="F47" s="4"/>
    </row>
    <row r="48" customFormat="false" ht="15" hidden="false" customHeight="false" outlineLevel="0" collapsed="false">
      <c r="A48" s="4" t="s">
        <v>51</v>
      </c>
      <c r="B48" s="5" t="n">
        <v>3195</v>
      </c>
      <c r="C48" s="6" t="n">
        <v>7.58</v>
      </c>
      <c r="D48" s="5" t="n">
        <f aca="false">ROUND(B48/C48,0)</f>
        <v>422</v>
      </c>
      <c r="E48" s="10" t="str">
        <f aca="false">IF(A48="Madrid","Capital — desglosar (ver hoja 2)",IF(AND(B48&gt;=20000,D48&gt;=1000),"A — seguir individual",IF(B48&gt;=5000,"B — secundario / valorar","C — agrupar u omitir")))</f>
        <v>C — agrupar u omitir</v>
      </c>
      <c r="F48" s="4"/>
    </row>
    <row r="49" customFormat="false" ht="15" hidden="false" customHeight="false" outlineLevel="0" collapsed="false">
      <c r="A49" s="4" t="s">
        <v>52</v>
      </c>
      <c r="B49" s="5" t="n">
        <v>9802</v>
      </c>
      <c r="C49" s="6" t="n">
        <v>25.13</v>
      </c>
      <c r="D49" s="5" t="n">
        <f aca="false">ROUND(B49/C49,0)</f>
        <v>390</v>
      </c>
      <c r="E49" s="9" t="str">
        <f aca="false">IF(A49="Madrid","Capital — desglosar (ver hoja 2)",IF(AND(B49&gt;=20000,D49&gt;=1000),"A — seguir individual",IF(B49&gt;=5000,"B — secundario / valorar","C — agrupar u omitir")))</f>
        <v>B — secundario / valorar</v>
      </c>
      <c r="F49" s="4"/>
    </row>
    <row r="50" customFormat="false" ht="15" hidden="false" customHeight="false" outlineLevel="0" collapsed="false">
      <c r="A50" s="4" t="s">
        <v>53</v>
      </c>
      <c r="B50" s="5" t="n">
        <v>7670</v>
      </c>
      <c r="C50" s="6" t="n">
        <v>20.84</v>
      </c>
      <c r="D50" s="5" t="n">
        <f aca="false">ROUND(B50/C50,0)</f>
        <v>368</v>
      </c>
      <c r="E50" s="9" t="str">
        <f aca="false">IF(A50="Madrid","Capital — desglosar (ver hoja 2)",IF(AND(B50&gt;=20000,D50&gt;=1000),"A — seguir individual",IF(B50&gt;=5000,"B — secundario / valorar","C — agrupar u omitir")))</f>
        <v>B — secundario / valorar</v>
      </c>
      <c r="F50" s="4"/>
    </row>
    <row r="51" customFormat="false" ht="15" hidden="false" customHeight="false" outlineLevel="0" collapsed="false">
      <c r="A51" s="4" t="s">
        <v>54</v>
      </c>
      <c r="B51" s="5" t="n">
        <v>7429</v>
      </c>
      <c r="C51" s="6" t="n">
        <v>20.2</v>
      </c>
      <c r="D51" s="5" t="n">
        <f aca="false">ROUND(B51/C51,0)</f>
        <v>368</v>
      </c>
      <c r="E51" s="9" t="str">
        <f aca="false">IF(A51="Madrid","Capital — desglosar (ver hoja 2)",IF(AND(B51&gt;=20000,D51&gt;=1000),"A — seguir individual",IF(B51&gt;=5000,"B — secundario / valorar","C — agrupar u omitir")))</f>
        <v>B — secundario / valorar</v>
      </c>
      <c r="F51" s="4"/>
    </row>
    <row r="52" customFormat="false" ht="15" hidden="false" customHeight="false" outlineLevel="0" collapsed="false">
      <c r="A52" s="4" t="s">
        <v>55</v>
      </c>
      <c r="B52" s="5" t="n">
        <v>13825</v>
      </c>
      <c r="C52" s="6" t="n">
        <v>38.38</v>
      </c>
      <c r="D52" s="5" t="n">
        <f aca="false">ROUND(B52/C52,0)</f>
        <v>360</v>
      </c>
      <c r="E52" s="9" t="str">
        <f aca="false">IF(A52="Madrid","Capital — desglosar (ver hoja 2)",IF(AND(B52&gt;=20000,D52&gt;=1000),"A — seguir individual",IF(B52&gt;=5000,"B — secundario / valorar","C — agrupar u omitir")))</f>
        <v>B — secundario / valorar</v>
      </c>
      <c r="F52" s="4"/>
    </row>
    <row r="53" customFormat="false" ht="15" hidden="false" customHeight="false" outlineLevel="0" collapsed="false">
      <c r="A53" s="4" t="s">
        <v>56</v>
      </c>
      <c r="B53" s="5" t="n">
        <v>4670</v>
      </c>
      <c r="C53" s="6" t="n">
        <v>13.29</v>
      </c>
      <c r="D53" s="5" t="n">
        <f aca="false">ROUND(B53/C53,0)</f>
        <v>351</v>
      </c>
      <c r="E53" s="10" t="str">
        <f aca="false">IF(A53="Madrid","Capital — desglosar (ver hoja 2)",IF(AND(B53&gt;=20000,D53&gt;=1000),"A — seguir individual",IF(B53&gt;=5000,"B — secundario / valorar","C — agrupar u omitir")))</f>
        <v>C — agrupar u omitir</v>
      </c>
      <c r="F53" s="4"/>
    </row>
    <row r="54" customFormat="false" ht="15" hidden="false" customHeight="false" outlineLevel="0" collapsed="false">
      <c r="A54" s="4" t="s">
        <v>57</v>
      </c>
      <c r="B54" s="5" t="n">
        <v>14772</v>
      </c>
      <c r="C54" s="6" t="n">
        <v>42.56</v>
      </c>
      <c r="D54" s="5" t="n">
        <f aca="false">ROUND(B54/C54,0)</f>
        <v>347</v>
      </c>
      <c r="E54" s="9" t="str">
        <f aca="false">IF(A54="Madrid","Capital — desglosar (ver hoja 2)",IF(AND(B54&gt;=20000,D54&gt;=1000),"A — seguir individual",IF(B54&gt;=5000,"B — secundario / valorar","C — agrupar u omitir")))</f>
        <v>B — secundario / valorar</v>
      </c>
      <c r="F54" s="4"/>
    </row>
    <row r="55" customFormat="false" ht="15" hidden="false" customHeight="false" outlineLevel="0" collapsed="false">
      <c r="A55" s="4" t="s">
        <v>58</v>
      </c>
      <c r="B55" s="5" t="n">
        <v>7722</v>
      </c>
      <c r="C55" s="6" t="n">
        <v>22.57</v>
      </c>
      <c r="D55" s="5" t="n">
        <f aca="false">ROUND(B55/C55,0)</f>
        <v>342</v>
      </c>
      <c r="E55" s="9" t="str">
        <f aca="false">IF(A55="Madrid","Capital — desglosar (ver hoja 2)",IF(AND(B55&gt;=20000,D55&gt;=1000),"A — seguir individual",IF(B55&gt;=5000,"B — secundario / valorar","C — agrupar u omitir")))</f>
        <v>B — secundario / valorar</v>
      </c>
      <c r="F55" s="4"/>
    </row>
    <row r="56" customFormat="false" ht="15" hidden="false" customHeight="false" outlineLevel="0" collapsed="false">
      <c r="A56" s="4" t="s">
        <v>59</v>
      </c>
      <c r="B56" s="5" t="n">
        <v>18872</v>
      </c>
      <c r="C56" s="6" t="n">
        <v>56.4</v>
      </c>
      <c r="D56" s="5" t="n">
        <f aca="false">ROUND(B56/C56,0)</f>
        <v>335</v>
      </c>
      <c r="E56" s="9" t="str">
        <f aca="false">IF(A56="Madrid","Capital — desglosar (ver hoja 2)",IF(AND(B56&gt;=20000,D56&gt;=1000),"A — seguir individual",IF(B56&gt;=5000,"B — secundario / valorar","C — agrupar u omitir")))</f>
        <v>B — secundario / valorar</v>
      </c>
      <c r="F56" s="4"/>
    </row>
    <row r="57" customFormat="false" ht="15" hidden="false" customHeight="false" outlineLevel="0" collapsed="false">
      <c r="A57" s="4" t="s">
        <v>60</v>
      </c>
      <c r="B57" s="5" t="n">
        <v>33331</v>
      </c>
      <c r="C57" s="6" t="n">
        <v>100.22</v>
      </c>
      <c r="D57" s="5" t="n">
        <f aca="false">ROUND(B57/C57,0)</f>
        <v>333</v>
      </c>
      <c r="E57" s="9" t="str">
        <f aca="false">IF(A57="Madrid","Capital — desglosar (ver hoja 2)",IF(AND(B57&gt;=20000,D57&gt;=1000),"A — seguir individual",IF(B57&gt;=5000,"B — secundario / valorar","C — agrupar u omitir")))</f>
        <v>B — secundario / valorar</v>
      </c>
      <c r="F57" s="4"/>
    </row>
    <row r="58" customFormat="false" ht="15" hidden="false" customHeight="false" outlineLevel="0" collapsed="false">
      <c r="A58" s="4" t="s">
        <v>61</v>
      </c>
      <c r="B58" s="5" t="n">
        <v>58730</v>
      </c>
      <c r="C58" s="6" t="n">
        <v>182.56</v>
      </c>
      <c r="D58" s="5" t="n">
        <f aca="false">ROUND(B58/C58,0)</f>
        <v>322</v>
      </c>
      <c r="E58" s="9" t="str">
        <f aca="false">IF(A58="Madrid","Capital — desglosar (ver hoja 2)",IF(AND(B58&gt;=20000,D58&gt;=1000),"A — seguir individual",IF(B58&gt;=5000,"B — secundario / valorar","C — agrupar u omitir")))</f>
        <v>B — secundario / valorar</v>
      </c>
      <c r="F58" s="4"/>
    </row>
    <row r="59" customFormat="false" ht="15" hidden="false" customHeight="false" outlineLevel="0" collapsed="false">
      <c r="A59" s="4" t="s">
        <v>62</v>
      </c>
      <c r="B59" s="5" t="n">
        <v>63040</v>
      </c>
      <c r="C59" s="6" t="n">
        <v>201.11</v>
      </c>
      <c r="D59" s="5" t="n">
        <f aca="false">ROUND(B59/C59,0)</f>
        <v>313</v>
      </c>
      <c r="E59" s="9" t="str">
        <f aca="false">IF(A59="Madrid","Capital — desglosar (ver hoja 2)",IF(AND(B59&gt;=20000,D59&gt;=1000),"A — seguir individual",IF(B59&gt;=5000,"B — secundario / valorar","C — agrupar u omitir")))</f>
        <v>B — secundario / valorar</v>
      </c>
      <c r="F59" s="4"/>
    </row>
    <row r="60" customFormat="false" ht="15" hidden="false" customHeight="false" outlineLevel="0" collapsed="false">
      <c r="A60" s="4" t="s">
        <v>63</v>
      </c>
      <c r="B60" s="5" t="n">
        <v>17547</v>
      </c>
      <c r="C60" s="6" t="n">
        <v>56.98</v>
      </c>
      <c r="D60" s="5" t="n">
        <f aca="false">ROUND(B60/C60,0)</f>
        <v>308</v>
      </c>
      <c r="E60" s="9" t="str">
        <f aca="false">IF(A60="Madrid","Capital — desglosar (ver hoja 2)",IF(AND(B60&gt;=20000,D60&gt;=1000),"A — seguir individual",IF(B60&gt;=5000,"B — secundario / valorar","C — agrupar u omitir")))</f>
        <v>B — secundario / valorar</v>
      </c>
      <c r="F60" s="4"/>
    </row>
    <row r="61" customFormat="false" ht="15" hidden="false" customHeight="false" outlineLevel="0" collapsed="false">
      <c r="A61" s="4" t="s">
        <v>64</v>
      </c>
      <c r="B61" s="5" t="n">
        <v>9640</v>
      </c>
      <c r="C61" s="6" t="n">
        <v>31.7</v>
      </c>
      <c r="D61" s="5" t="n">
        <f aca="false">ROUND(B61/C61,0)</f>
        <v>304</v>
      </c>
      <c r="E61" s="9" t="str">
        <f aca="false">IF(A61="Madrid","Capital — desglosar (ver hoja 2)",IF(AND(B61&gt;=20000,D61&gt;=1000),"A — seguir individual",IF(B61&gt;=5000,"B — secundario / valorar","C — agrupar u omitir")))</f>
        <v>B — secundario / valorar</v>
      </c>
      <c r="F61" s="4"/>
    </row>
    <row r="62" customFormat="false" ht="15" hidden="false" customHeight="false" outlineLevel="0" collapsed="false">
      <c r="A62" s="4" t="s">
        <v>65</v>
      </c>
      <c r="B62" s="5" t="n">
        <v>2622</v>
      </c>
      <c r="C62" s="6" t="n">
        <v>9.79</v>
      </c>
      <c r="D62" s="5" t="n">
        <f aca="false">ROUND(B62/C62,0)</f>
        <v>268</v>
      </c>
      <c r="E62" s="10" t="str">
        <f aca="false">IF(A62="Madrid","Capital — desglosar (ver hoja 2)",IF(AND(B62&gt;=20000,D62&gt;=1000),"A — seguir individual",IF(B62&gt;=5000,"B — secundario / valorar","C — agrupar u omitir")))</f>
        <v>C — agrupar u omitir</v>
      </c>
      <c r="F62" s="4"/>
    </row>
    <row r="63" customFormat="false" ht="15" hidden="false" customHeight="false" outlineLevel="0" collapsed="false">
      <c r="A63" s="4" t="s">
        <v>66</v>
      </c>
      <c r="B63" s="5" t="n">
        <v>17171</v>
      </c>
      <c r="C63" s="6" t="n">
        <v>68.75</v>
      </c>
      <c r="D63" s="5" t="n">
        <f aca="false">ROUND(B63/C63,0)</f>
        <v>250</v>
      </c>
      <c r="E63" s="9" t="str">
        <f aca="false">IF(A63="Madrid","Capital — desglosar (ver hoja 2)",IF(AND(B63&gt;=20000,D63&gt;=1000),"A — seguir individual",IF(B63&gt;=5000,"B — secundario / valorar","C — agrupar u omitir")))</f>
        <v>B — secundario / valorar</v>
      </c>
      <c r="F63" s="4"/>
    </row>
    <row r="64" customFormat="false" ht="15" hidden="false" customHeight="false" outlineLevel="0" collapsed="false">
      <c r="A64" s="4" t="s">
        <v>67</v>
      </c>
      <c r="B64" s="5" t="n">
        <v>4868</v>
      </c>
      <c r="C64" s="6" t="n">
        <v>19.62</v>
      </c>
      <c r="D64" s="5" t="n">
        <f aca="false">ROUND(B64/C64,0)</f>
        <v>248</v>
      </c>
      <c r="E64" s="10" t="str">
        <f aca="false">IF(A64="Madrid","Capital — desglosar (ver hoja 2)",IF(AND(B64&gt;=20000,D64&gt;=1000),"A — seguir individual",IF(B64&gt;=5000,"B — secundario / valorar","C — agrupar u omitir")))</f>
        <v>C — agrupar u omitir</v>
      </c>
      <c r="F64" s="4"/>
    </row>
    <row r="65" customFormat="false" ht="15" hidden="false" customHeight="false" outlineLevel="0" collapsed="false">
      <c r="A65" s="4" t="s">
        <v>68</v>
      </c>
      <c r="B65" s="5" t="n">
        <v>10764</v>
      </c>
      <c r="C65" s="6" t="n">
        <v>43.77</v>
      </c>
      <c r="D65" s="5" t="n">
        <f aca="false">ROUND(B65/C65,0)</f>
        <v>246</v>
      </c>
      <c r="E65" s="9" t="str">
        <f aca="false">IF(A65="Madrid","Capital — desglosar (ver hoja 2)",IF(AND(B65&gt;=20000,D65&gt;=1000),"A — seguir individual",IF(B65&gt;=5000,"B — secundario / valorar","C — agrupar u omitir")))</f>
        <v>B — secundario / valorar</v>
      </c>
      <c r="F65" s="4"/>
    </row>
    <row r="66" customFormat="false" ht="15" hidden="false" customHeight="false" outlineLevel="0" collapsed="false">
      <c r="A66" s="4" t="s">
        <v>69</v>
      </c>
      <c r="B66" s="5" t="n">
        <v>4781</v>
      </c>
      <c r="C66" s="6" t="n">
        <v>19.56</v>
      </c>
      <c r="D66" s="5" t="n">
        <f aca="false">ROUND(B66/C66,0)</f>
        <v>244</v>
      </c>
      <c r="E66" s="10" t="str">
        <f aca="false">IF(A66="Madrid","Capital — desglosar (ver hoja 2)",IF(AND(B66&gt;=20000,D66&gt;=1000),"A — seguir individual",IF(B66&gt;=5000,"B — secundario / valorar","C — agrupar u omitir")))</f>
        <v>C — agrupar u omitir</v>
      </c>
      <c r="F66" s="4"/>
    </row>
    <row r="67" customFormat="false" ht="15" hidden="false" customHeight="false" outlineLevel="0" collapsed="false">
      <c r="A67" s="4" t="s">
        <v>70</v>
      </c>
      <c r="B67" s="5" t="n">
        <v>8331</v>
      </c>
      <c r="C67" s="6" t="n">
        <v>35.43</v>
      </c>
      <c r="D67" s="5" t="n">
        <f aca="false">ROUND(B67/C67,0)</f>
        <v>235</v>
      </c>
      <c r="E67" s="9" t="str">
        <f aca="false">IF(A67="Madrid","Capital — desglosar (ver hoja 2)",IF(AND(B67&gt;=20000,D67&gt;=1000),"A — seguir individual",IF(B67&gt;=5000,"B — secundario / valorar","C — agrupar u omitir")))</f>
        <v>B — secundario / valorar</v>
      </c>
      <c r="F67" s="4"/>
    </row>
    <row r="68" customFormat="false" ht="15" hidden="false" customHeight="false" outlineLevel="0" collapsed="false">
      <c r="A68" s="4" t="s">
        <v>71</v>
      </c>
      <c r="B68" s="5" t="n">
        <v>6606</v>
      </c>
      <c r="C68" s="6" t="n">
        <v>28.35</v>
      </c>
      <c r="D68" s="5" t="n">
        <f aca="false">ROUND(B68/C68,0)</f>
        <v>233</v>
      </c>
      <c r="E68" s="9" t="str">
        <f aca="false">IF(A68="Madrid","Capital — desglosar (ver hoja 2)",IF(AND(B68&gt;=20000,D68&gt;=1000),"A — seguir individual",IF(B68&gt;=5000,"B — secundario / valorar","C — agrupar u omitir")))</f>
        <v>B — secundario / valorar</v>
      </c>
      <c r="F68" s="4"/>
    </row>
    <row r="69" customFormat="false" ht="15" hidden="false" customHeight="false" outlineLevel="0" collapsed="false">
      <c r="A69" s="4" t="s">
        <v>72</v>
      </c>
      <c r="B69" s="5" t="n">
        <v>11287</v>
      </c>
      <c r="C69" s="6" t="n">
        <v>48.94</v>
      </c>
      <c r="D69" s="5" t="n">
        <f aca="false">ROUND(B69/C69,0)</f>
        <v>231</v>
      </c>
      <c r="E69" s="9" t="str">
        <f aca="false">IF(A69="Madrid","Capital — desglosar (ver hoja 2)",IF(AND(B69&gt;=20000,D69&gt;=1000),"A — seguir individual",IF(B69&gt;=5000,"B — secundario / valorar","C — agrupar u omitir")))</f>
        <v>B — secundario / valorar</v>
      </c>
      <c r="F69" s="4"/>
    </row>
    <row r="70" customFormat="false" ht="15" hidden="false" customHeight="false" outlineLevel="0" collapsed="false">
      <c r="A70" s="4" t="s">
        <v>73</v>
      </c>
      <c r="B70" s="5" t="n">
        <v>7413</v>
      </c>
      <c r="C70" s="6" t="n">
        <v>33.23</v>
      </c>
      <c r="D70" s="5" t="n">
        <f aca="false">ROUND(B70/C70,0)</f>
        <v>223</v>
      </c>
      <c r="E70" s="9" t="str">
        <f aca="false">IF(A70="Madrid","Capital — desglosar (ver hoja 2)",IF(AND(B70&gt;=20000,D70&gt;=1000),"A — seguir individual",IF(B70&gt;=5000,"B — secundario / valorar","C — agrupar u omitir")))</f>
        <v>B — secundario / valorar</v>
      </c>
      <c r="F70" s="4"/>
    </row>
    <row r="71" customFormat="false" ht="15" hidden="false" customHeight="false" outlineLevel="0" collapsed="false">
      <c r="A71" s="4" t="s">
        <v>74</v>
      </c>
      <c r="B71" s="5" t="n">
        <v>6737</v>
      </c>
      <c r="C71" s="6" t="n">
        <v>30.35</v>
      </c>
      <c r="D71" s="5" t="n">
        <f aca="false">ROUND(B71/C71,0)</f>
        <v>222</v>
      </c>
      <c r="E71" s="9" t="str">
        <f aca="false">IF(A71="Madrid","Capital — desglosar (ver hoja 2)",IF(AND(B71&gt;=20000,D71&gt;=1000),"A — seguir individual",IF(B71&gt;=5000,"B — secundario / valorar","C — agrupar u omitir")))</f>
        <v>B — secundario / valorar</v>
      </c>
      <c r="F71" s="4"/>
    </row>
    <row r="72" customFormat="false" ht="15" hidden="false" customHeight="false" outlineLevel="0" collapsed="false">
      <c r="A72" s="4" t="s">
        <v>75</v>
      </c>
      <c r="B72" s="5" t="n">
        <v>8770</v>
      </c>
      <c r="C72" s="6" t="n">
        <v>39.59</v>
      </c>
      <c r="D72" s="5" t="n">
        <f aca="false">ROUND(B72/C72,0)</f>
        <v>222</v>
      </c>
      <c r="E72" s="9" t="str">
        <f aca="false">IF(A72="Madrid","Capital — desglosar (ver hoja 2)",IF(AND(B72&gt;=20000,D72&gt;=1000),"A — seguir individual",IF(B72&gt;=5000,"B — secundario / valorar","C — agrupar u omitir")))</f>
        <v>B — secundario / valorar</v>
      </c>
      <c r="F72" s="4"/>
    </row>
    <row r="73" customFormat="false" ht="15" hidden="false" customHeight="false" outlineLevel="0" collapsed="false">
      <c r="A73" s="4" t="s">
        <v>76</v>
      </c>
      <c r="B73" s="5" t="n">
        <v>9400</v>
      </c>
      <c r="C73" s="6" t="n">
        <v>43.21</v>
      </c>
      <c r="D73" s="5" t="n">
        <f aca="false">ROUND(B73/C73,0)</f>
        <v>218</v>
      </c>
      <c r="E73" s="9" t="str">
        <f aca="false">IF(A73="Madrid","Capital — desglosar (ver hoja 2)",IF(AND(B73&gt;=20000,D73&gt;=1000),"A — seguir individual",IF(B73&gt;=5000,"B — secundario / valorar","C — agrupar u omitir")))</f>
        <v>B — secundario / valorar</v>
      </c>
      <c r="F73" s="4"/>
    </row>
    <row r="74" customFormat="false" ht="15" hidden="false" customHeight="false" outlineLevel="0" collapsed="false">
      <c r="A74" s="4" t="s">
        <v>77</v>
      </c>
      <c r="B74" s="5" t="n">
        <v>7772</v>
      </c>
      <c r="C74" s="6" t="n">
        <v>35.78</v>
      </c>
      <c r="D74" s="5" t="n">
        <f aca="false">ROUND(B74/C74,0)</f>
        <v>217</v>
      </c>
      <c r="E74" s="9" t="str">
        <f aca="false">IF(A74="Madrid","Capital — desglosar (ver hoja 2)",IF(AND(B74&gt;=20000,D74&gt;=1000),"A — seguir individual",IF(B74&gt;=5000,"B — secundario / valorar","C — agrupar u omitir")))</f>
        <v>B — secundario / valorar</v>
      </c>
      <c r="F74" s="4"/>
    </row>
    <row r="75" customFormat="false" ht="15" hidden="false" customHeight="false" outlineLevel="0" collapsed="false">
      <c r="A75" s="4" t="s">
        <v>78</v>
      </c>
      <c r="B75" s="5" t="n">
        <v>9261</v>
      </c>
      <c r="C75" s="6" t="n">
        <v>44.06</v>
      </c>
      <c r="D75" s="5" t="n">
        <f aca="false">ROUND(B75/C75,0)</f>
        <v>210</v>
      </c>
      <c r="E75" s="9" t="str">
        <f aca="false">IF(A75="Madrid","Capital — desglosar (ver hoja 2)",IF(AND(B75&gt;=20000,D75&gt;=1000),"A — seguir individual",IF(B75&gt;=5000,"B — secundario / valorar","C — agrupar u omitir")))</f>
        <v>B — secundario / valorar</v>
      </c>
      <c r="F75" s="4"/>
    </row>
    <row r="76" customFormat="false" ht="15" hidden="false" customHeight="false" outlineLevel="0" collapsed="false">
      <c r="A76" s="4" t="s">
        <v>79</v>
      </c>
      <c r="B76" s="5" t="n">
        <v>9310</v>
      </c>
      <c r="C76" s="6" t="n">
        <v>45.31</v>
      </c>
      <c r="D76" s="5" t="n">
        <f aca="false">ROUND(B76/C76,0)</f>
        <v>205</v>
      </c>
      <c r="E76" s="9" t="str">
        <f aca="false">IF(A76="Madrid","Capital — desglosar (ver hoja 2)",IF(AND(B76&gt;=20000,D76&gt;=1000),"A — seguir individual",IF(B76&gt;=5000,"B — secundario / valorar","C — agrupar u omitir")))</f>
        <v>B — secundario / valorar</v>
      </c>
      <c r="F76" s="4"/>
    </row>
    <row r="77" customFormat="false" ht="15" hidden="false" customHeight="false" outlineLevel="0" collapsed="false">
      <c r="A77" s="4" t="s">
        <v>80</v>
      </c>
      <c r="B77" s="5" t="n">
        <v>9999</v>
      </c>
      <c r="C77" s="6" t="n">
        <v>50.29</v>
      </c>
      <c r="D77" s="5" t="n">
        <f aca="false">ROUND(B77/C77,0)</f>
        <v>199</v>
      </c>
      <c r="E77" s="9" t="str">
        <f aca="false">IF(A77="Madrid","Capital — desglosar (ver hoja 2)",IF(AND(B77&gt;=20000,D77&gt;=1000),"A — seguir individual",IF(B77&gt;=5000,"B — secundario / valorar","C — agrupar u omitir")))</f>
        <v>B — secundario / valorar</v>
      </c>
      <c r="F77" s="4"/>
    </row>
    <row r="78" customFormat="false" ht="15" hidden="false" customHeight="false" outlineLevel="0" collapsed="false">
      <c r="A78" s="4" t="s">
        <v>81</v>
      </c>
      <c r="B78" s="5" t="n">
        <v>21010</v>
      </c>
      <c r="C78" s="6" t="n">
        <v>105.93</v>
      </c>
      <c r="D78" s="5" t="n">
        <f aca="false">ROUND(B78/C78,0)</f>
        <v>198</v>
      </c>
      <c r="E78" s="9" t="str">
        <f aca="false">IF(A78="Madrid","Capital — desglosar (ver hoja 2)",IF(AND(B78&gt;=20000,D78&gt;=1000),"A — seguir individual",IF(B78&gt;=5000,"B — secundario / valorar","C — agrupar u omitir")))</f>
        <v>B — secundario / valorar</v>
      </c>
      <c r="F78" s="4"/>
    </row>
    <row r="79" customFormat="false" ht="15" hidden="false" customHeight="false" outlineLevel="0" collapsed="false">
      <c r="A79" s="4" t="s">
        <v>82</v>
      </c>
      <c r="B79" s="5" t="n">
        <v>8397</v>
      </c>
      <c r="C79" s="6" t="n">
        <v>45.2</v>
      </c>
      <c r="D79" s="5" t="n">
        <f aca="false">ROUND(B79/C79,0)</f>
        <v>186</v>
      </c>
      <c r="E79" s="9" t="str">
        <f aca="false">IF(A79="Madrid","Capital — desglosar (ver hoja 2)",IF(AND(B79&gt;=20000,D79&gt;=1000),"A — seguir individual",IF(B79&gt;=5000,"B — secundario / valorar","C — agrupar u omitir")))</f>
        <v>B — secundario / valorar</v>
      </c>
      <c r="F79" s="4"/>
    </row>
    <row r="80" customFormat="false" ht="15" hidden="false" customHeight="false" outlineLevel="0" collapsed="false">
      <c r="A80" s="4" t="s">
        <v>83</v>
      </c>
      <c r="B80" s="5" t="n">
        <v>7824</v>
      </c>
      <c r="C80" s="6" t="n">
        <v>43.79</v>
      </c>
      <c r="D80" s="5" t="n">
        <f aca="false">ROUND(B80/C80,0)</f>
        <v>179</v>
      </c>
      <c r="E80" s="9" t="str">
        <f aca="false">IF(A80="Madrid","Capital — desglosar (ver hoja 2)",IF(AND(B80&gt;=20000,D80&gt;=1000),"A — seguir individual",IF(B80&gt;=5000,"B — secundario / valorar","C — agrupar u omitir")))</f>
        <v>B — secundario / valorar</v>
      </c>
      <c r="F80" s="4"/>
    </row>
    <row r="81" customFormat="false" ht="15" hidden="false" customHeight="false" outlineLevel="0" collapsed="false">
      <c r="A81" s="4" t="s">
        <v>84</v>
      </c>
      <c r="B81" s="5" t="n">
        <v>5580</v>
      </c>
      <c r="C81" s="6" t="n">
        <v>31.29</v>
      </c>
      <c r="D81" s="5" t="n">
        <f aca="false">ROUND(B81/C81,0)</f>
        <v>178</v>
      </c>
      <c r="E81" s="9" t="str">
        <f aca="false">IF(A81="Madrid","Capital — desglosar (ver hoja 2)",IF(AND(B81&gt;=20000,D81&gt;=1000),"A — seguir individual",IF(B81&gt;=5000,"B — secundario / valorar","C — agrupar u omitir")))</f>
        <v>B — secundario / valorar</v>
      </c>
      <c r="F81" s="4"/>
    </row>
    <row r="82" customFormat="false" ht="15" hidden="false" customHeight="false" outlineLevel="0" collapsed="false">
      <c r="A82" s="4" t="s">
        <v>85</v>
      </c>
      <c r="B82" s="5" t="n">
        <v>4626</v>
      </c>
      <c r="C82" s="6" t="n">
        <v>26.81</v>
      </c>
      <c r="D82" s="5" t="n">
        <f aca="false">ROUND(B82/C82,0)</f>
        <v>173</v>
      </c>
      <c r="E82" s="10" t="str">
        <f aca="false">IF(A82="Madrid","Capital — desglosar (ver hoja 2)",IF(AND(B82&gt;=20000,D82&gt;=1000),"A — seguir individual",IF(B82&gt;=5000,"B — secundario / valorar","C — agrupar u omitir")))</f>
        <v>C — agrupar u omitir</v>
      </c>
      <c r="F82" s="4"/>
    </row>
    <row r="83" customFormat="false" ht="15" hidden="false" customHeight="false" outlineLevel="0" collapsed="false">
      <c r="A83" s="4" t="s">
        <v>86</v>
      </c>
      <c r="B83" s="5" t="n">
        <v>4044</v>
      </c>
      <c r="C83" s="6" t="n">
        <v>25.71</v>
      </c>
      <c r="D83" s="5" t="n">
        <f aca="false">ROUND(B83/C83,0)</f>
        <v>157</v>
      </c>
      <c r="E83" s="10" t="str">
        <f aca="false">IF(A83="Madrid","Capital — desglosar (ver hoja 2)",IF(AND(B83&gt;=20000,D83&gt;=1000),"A — seguir individual",IF(B83&gt;=5000,"B — secundario / valorar","C — agrupar u omitir")))</f>
        <v>C — agrupar u omitir</v>
      </c>
      <c r="F83" s="4"/>
    </row>
    <row r="84" customFormat="false" ht="15" hidden="false" customHeight="false" outlineLevel="0" collapsed="false">
      <c r="A84" s="4" t="s">
        <v>87</v>
      </c>
      <c r="B84" s="5" t="n">
        <v>5175</v>
      </c>
      <c r="C84" s="6" t="n">
        <v>33.52</v>
      </c>
      <c r="D84" s="5" t="n">
        <f aca="false">ROUND(B84/C84,0)</f>
        <v>154</v>
      </c>
      <c r="E84" s="9" t="str">
        <f aca="false">IF(A84="Madrid","Capital — desglosar (ver hoja 2)",IF(AND(B84&gt;=20000,D84&gt;=1000),"A — seguir individual",IF(B84&gt;=5000,"B — secundario / valorar","C — agrupar u omitir")))</f>
        <v>B — secundario / valorar</v>
      </c>
      <c r="F84" s="4"/>
    </row>
    <row r="85" customFormat="false" ht="15" hidden="false" customHeight="false" outlineLevel="0" collapsed="false">
      <c r="A85" s="4" t="s">
        <v>88</v>
      </c>
      <c r="B85" s="5" t="n">
        <v>14420</v>
      </c>
      <c r="C85" s="6" t="n">
        <v>93.68</v>
      </c>
      <c r="D85" s="5" t="n">
        <f aca="false">ROUND(B85/C85,0)</f>
        <v>154</v>
      </c>
      <c r="E85" s="9" t="str">
        <f aca="false">IF(A85="Madrid","Capital — desglosar (ver hoja 2)",IF(AND(B85&gt;=20000,D85&gt;=1000),"A — seguir individual",IF(B85&gt;=5000,"B — secundario / valorar","C — agrupar u omitir")))</f>
        <v>B — secundario / valorar</v>
      </c>
      <c r="F85" s="4"/>
    </row>
    <row r="86" customFormat="false" ht="15" hidden="false" customHeight="false" outlineLevel="0" collapsed="false">
      <c r="A86" s="4" t="s">
        <v>89</v>
      </c>
      <c r="B86" s="5" t="n">
        <v>1693</v>
      </c>
      <c r="C86" s="6" t="n">
        <v>11.75</v>
      </c>
      <c r="D86" s="5" t="n">
        <f aca="false">ROUND(B86/C86,0)</f>
        <v>144</v>
      </c>
      <c r="E86" s="10" t="str">
        <f aca="false">IF(A86="Madrid","Capital — desglosar (ver hoja 2)",IF(AND(B86&gt;=20000,D86&gt;=1000),"A — seguir individual",IF(B86&gt;=5000,"B — secundario / valorar","C — agrupar u omitir")))</f>
        <v>C — agrupar u omitir</v>
      </c>
      <c r="F86" s="4"/>
    </row>
    <row r="87" customFormat="false" ht="15" hidden="false" customHeight="false" outlineLevel="0" collapsed="false">
      <c r="A87" s="4" t="s">
        <v>90</v>
      </c>
      <c r="B87" s="5" t="n">
        <v>1389</v>
      </c>
      <c r="C87" s="6" t="n">
        <v>9.95</v>
      </c>
      <c r="D87" s="5" t="n">
        <f aca="false">ROUND(B87/C87,0)</f>
        <v>140</v>
      </c>
      <c r="E87" s="10" t="str">
        <f aca="false">IF(A87="Madrid","Capital — desglosar (ver hoja 2)",IF(AND(B87&gt;=20000,D87&gt;=1000),"A — seguir individual",IF(B87&gt;=5000,"B — secundario / valorar","C — agrupar u omitir")))</f>
        <v>C — agrupar u omitir</v>
      </c>
      <c r="F87" s="4"/>
    </row>
    <row r="88" customFormat="false" ht="15" hidden="false" customHeight="false" outlineLevel="0" collapsed="false">
      <c r="A88" s="4" t="s">
        <v>91</v>
      </c>
      <c r="B88" s="5" t="n">
        <v>7350</v>
      </c>
      <c r="C88" s="6" t="n">
        <v>56.66</v>
      </c>
      <c r="D88" s="5" t="n">
        <f aca="false">ROUND(B88/C88,0)</f>
        <v>130</v>
      </c>
      <c r="E88" s="9" t="str">
        <f aca="false">IF(A88="Madrid","Capital — desglosar (ver hoja 2)",IF(AND(B88&gt;=20000,D88&gt;=1000),"A — seguir individual",IF(B88&gt;=5000,"B — secundario / valorar","C — agrupar u omitir")))</f>
        <v>B — secundario / valorar</v>
      </c>
      <c r="F88" s="4"/>
    </row>
    <row r="89" customFormat="false" ht="15" hidden="false" customHeight="false" outlineLevel="0" collapsed="false">
      <c r="A89" s="4" t="s">
        <v>92</v>
      </c>
      <c r="B89" s="5" t="n">
        <v>2889</v>
      </c>
      <c r="C89" s="6" t="n">
        <v>22.4</v>
      </c>
      <c r="D89" s="5" t="n">
        <f aca="false">ROUND(B89/C89,0)</f>
        <v>129</v>
      </c>
      <c r="E89" s="10" t="str">
        <f aca="false">IF(A89="Madrid","Capital — desglosar (ver hoja 2)",IF(AND(B89&gt;=20000,D89&gt;=1000),"A — seguir individual",IF(B89&gt;=5000,"B — secundario / valorar","C — agrupar u omitir")))</f>
        <v>C — agrupar u omitir</v>
      </c>
      <c r="F89" s="4"/>
    </row>
    <row r="90" customFormat="false" ht="15" hidden="false" customHeight="false" outlineLevel="0" collapsed="false">
      <c r="A90" s="4" t="s">
        <v>93</v>
      </c>
      <c r="B90" s="5" t="n">
        <v>3311</v>
      </c>
      <c r="C90" s="6" t="n">
        <v>27.29</v>
      </c>
      <c r="D90" s="5" t="n">
        <f aca="false">ROUND(B90/C90,0)</f>
        <v>121</v>
      </c>
      <c r="E90" s="10" t="str">
        <f aca="false">IF(A90="Madrid","Capital — desglosar (ver hoja 2)",IF(AND(B90&gt;=20000,D90&gt;=1000),"A — seguir individual",IF(B90&gt;=5000,"B — secundario / valorar","C — agrupar u omitir")))</f>
        <v>C — agrupar u omitir</v>
      </c>
      <c r="F90" s="4"/>
    </row>
    <row r="91" customFormat="false" ht="15" hidden="false" customHeight="false" outlineLevel="0" collapsed="false">
      <c r="A91" s="4" t="s">
        <v>94</v>
      </c>
      <c r="B91" s="5" t="n">
        <v>5081</v>
      </c>
      <c r="C91" s="6" t="n">
        <v>43.4</v>
      </c>
      <c r="D91" s="5" t="n">
        <f aca="false">ROUND(B91/C91,0)</f>
        <v>117</v>
      </c>
      <c r="E91" s="9" t="str">
        <f aca="false">IF(A91="Madrid","Capital — desglosar (ver hoja 2)",IF(AND(B91&gt;=20000,D91&gt;=1000),"A — seguir individual",IF(B91&gt;=5000,"B — secundario / valorar","C — agrupar u omitir")))</f>
        <v>B — secundario / valorar</v>
      </c>
      <c r="F91" s="4"/>
    </row>
    <row r="92" customFormat="false" ht="15" hidden="false" customHeight="false" outlineLevel="0" collapsed="false">
      <c r="A92" s="4" t="s">
        <v>95</v>
      </c>
      <c r="B92" s="5" t="n">
        <v>4607</v>
      </c>
      <c r="C92" s="6" t="n">
        <v>39.36</v>
      </c>
      <c r="D92" s="5" t="n">
        <f aca="false">ROUND(B92/C92,0)</f>
        <v>117</v>
      </c>
      <c r="E92" s="10" t="str">
        <f aca="false">IF(A92="Madrid","Capital — desglosar (ver hoja 2)",IF(AND(B92&gt;=20000,D92&gt;=1000),"A — seguir individual",IF(B92&gt;=5000,"B — secundario / valorar","C — agrupar u omitir")))</f>
        <v>C — agrupar u omitir</v>
      </c>
      <c r="F92" s="4"/>
    </row>
    <row r="93" customFormat="false" ht="15" hidden="false" customHeight="false" outlineLevel="0" collapsed="false">
      <c r="A93" s="4" t="s">
        <v>96</v>
      </c>
      <c r="B93" s="5" t="n">
        <v>6993</v>
      </c>
      <c r="C93" s="6" t="n">
        <v>61.05</v>
      </c>
      <c r="D93" s="5" t="n">
        <f aca="false">ROUND(B93/C93,0)</f>
        <v>115</v>
      </c>
      <c r="E93" s="9" t="str">
        <f aca="false">IF(A93="Madrid","Capital — desglosar (ver hoja 2)",IF(AND(B93&gt;=20000,D93&gt;=1000),"A — seguir individual",IF(B93&gt;=5000,"B — secundario / valorar","C — agrupar u omitir")))</f>
        <v>B — secundario / valorar</v>
      </c>
      <c r="F93" s="4"/>
    </row>
    <row r="94" customFormat="false" ht="15" hidden="false" customHeight="false" outlineLevel="0" collapsed="false">
      <c r="A94" s="4" t="s">
        <v>97</v>
      </c>
      <c r="B94" s="5" t="n">
        <v>6974</v>
      </c>
      <c r="C94" s="6" t="n">
        <v>61.75</v>
      </c>
      <c r="D94" s="5" t="n">
        <f aca="false">ROUND(B94/C94,0)</f>
        <v>113</v>
      </c>
      <c r="E94" s="9" t="str">
        <f aca="false">IF(A94="Madrid","Capital — desglosar (ver hoja 2)",IF(AND(B94&gt;=20000,D94&gt;=1000),"A — seguir individual",IF(B94&gt;=5000,"B — secundario / valorar","C — agrupar u omitir")))</f>
        <v>B — secundario / valorar</v>
      </c>
      <c r="F94" s="4"/>
    </row>
    <row r="95" customFormat="false" ht="15" hidden="false" customHeight="false" outlineLevel="0" collapsed="false">
      <c r="A95" s="4" t="s">
        <v>98</v>
      </c>
      <c r="B95" s="5" t="n">
        <v>2964</v>
      </c>
      <c r="C95" s="6" t="n">
        <v>26.88</v>
      </c>
      <c r="D95" s="5" t="n">
        <f aca="false">ROUND(B95/C95,0)</f>
        <v>110</v>
      </c>
      <c r="E95" s="10" t="str">
        <f aca="false">IF(A95="Madrid","Capital — desglosar (ver hoja 2)",IF(AND(B95&gt;=20000,D95&gt;=1000),"A — seguir individual",IF(B95&gt;=5000,"B — secundario / valorar","C — agrupar u omitir")))</f>
        <v>C — agrupar u omitir</v>
      </c>
      <c r="F95" s="4"/>
    </row>
    <row r="96" customFormat="false" ht="15" hidden="false" customHeight="false" outlineLevel="0" collapsed="false">
      <c r="A96" s="4" t="s">
        <v>99</v>
      </c>
      <c r="B96" s="5" t="n">
        <v>3569</v>
      </c>
      <c r="C96" s="6" t="n">
        <v>32.97</v>
      </c>
      <c r="D96" s="5" t="n">
        <f aca="false">ROUND(B96/C96,0)</f>
        <v>108</v>
      </c>
      <c r="E96" s="10" t="str">
        <f aca="false">IF(A96="Madrid","Capital — desglosar (ver hoja 2)",IF(AND(B96&gt;=20000,D96&gt;=1000),"A — seguir individual",IF(B96&gt;=5000,"B — secundario / valorar","C — agrupar u omitir")))</f>
        <v>C — agrupar u omitir</v>
      </c>
      <c r="F96" s="4"/>
    </row>
    <row r="97" customFormat="false" ht="15" hidden="false" customHeight="false" outlineLevel="0" collapsed="false">
      <c r="A97" s="4" t="s">
        <v>100</v>
      </c>
      <c r="B97" s="5" t="n">
        <v>2705</v>
      </c>
      <c r="C97" s="6" t="n">
        <v>25.4</v>
      </c>
      <c r="D97" s="5" t="n">
        <f aca="false">ROUND(B97/C97,0)</f>
        <v>106</v>
      </c>
      <c r="E97" s="10" t="str">
        <f aca="false">IF(A97="Madrid","Capital — desglosar (ver hoja 2)",IF(AND(B97&gt;=20000,D97&gt;=1000),"A — seguir individual",IF(B97&gt;=5000,"B — secundario / valorar","C — agrupar u omitir")))</f>
        <v>C — agrupar u omitir</v>
      </c>
      <c r="F97" s="4"/>
    </row>
    <row r="98" customFormat="false" ht="15" hidden="false" customHeight="false" outlineLevel="0" collapsed="false">
      <c r="A98" s="4" t="s">
        <v>101</v>
      </c>
      <c r="B98" s="5" t="n">
        <v>1896</v>
      </c>
      <c r="C98" s="6" t="n">
        <v>18.79</v>
      </c>
      <c r="D98" s="5" t="n">
        <f aca="false">ROUND(B98/C98,0)</f>
        <v>101</v>
      </c>
      <c r="E98" s="10" t="str">
        <f aca="false">IF(A98="Madrid","Capital — desglosar (ver hoja 2)",IF(AND(B98&gt;=20000,D98&gt;=1000),"A — seguir individual",IF(B98&gt;=5000,"B — secundario / valorar","C — agrupar u omitir")))</f>
        <v>C — agrupar u omitir</v>
      </c>
      <c r="F98" s="4"/>
    </row>
    <row r="99" customFormat="false" ht="15" hidden="false" customHeight="false" outlineLevel="0" collapsed="false">
      <c r="A99" s="4" t="s">
        <v>102</v>
      </c>
      <c r="B99" s="5" t="n">
        <v>7743</v>
      </c>
      <c r="C99" s="6" t="n">
        <v>78.42</v>
      </c>
      <c r="D99" s="5" t="n">
        <f aca="false">ROUND(B99/C99,0)</f>
        <v>99</v>
      </c>
      <c r="E99" s="9" t="str">
        <f aca="false">IF(A99="Madrid","Capital — desglosar (ver hoja 2)",IF(AND(B99&gt;=20000,D99&gt;=1000),"A — seguir individual",IF(B99&gt;=5000,"B — secundario / valorar","C — agrupar u omitir")))</f>
        <v>B — secundario / valorar</v>
      </c>
      <c r="F99" s="4"/>
    </row>
    <row r="100" customFormat="false" ht="15" hidden="false" customHeight="false" outlineLevel="0" collapsed="false">
      <c r="A100" s="4" t="s">
        <v>103</v>
      </c>
      <c r="B100" s="5" t="n">
        <v>1946</v>
      </c>
      <c r="C100" s="6" t="n">
        <v>20.63</v>
      </c>
      <c r="D100" s="5" t="n">
        <f aca="false">ROUND(B100/C100,0)</f>
        <v>94</v>
      </c>
      <c r="E100" s="10" t="str">
        <f aca="false">IF(A100="Madrid","Capital — desglosar (ver hoja 2)",IF(AND(B100&gt;=20000,D100&gt;=1000),"A — seguir individual",IF(B100&gt;=5000,"B — secundario / valorar","C — agrupar u omitir")))</f>
        <v>C — agrupar u omitir</v>
      </c>
      <c r="F100" s="4"/>
    </row>
    <row r="101" customFormat="false" ht="15" hidden="false" customHeight="false" outlineLevel="0" collapsed="false">
      <c r="A101" s="4" t="s">
        <v>104</v>
      </c>
      <c r="B101" s="5" t="n">
        <v>4900</v>
      </c>
      <c r="C101" s="6" t="n">
        <v>52.32</v>
      </c>
      <c r="D101" s="5" t="n">
        <f aca="false">ROUND(B101/C101,0)</f>
        <v>94</v>
      </c>
      <c r="E101" s="10" t="str">
        <f aca="false">IF(A101="Madrid","Capital — desglosar (ver hoja 2)",IF(AND(B101&gt;=20000,D101&gt;=1000),"A — seguir individual",IF(B101&gt;=5000,"B — secundario / valorar","C — agrupar u omitir")))</f>
        <v>C — agrupar u omitir</v>
      </c>
      <c r="F101" s="4"/>
    </row>
    <row r="102" customFormat="false" ht="15" hidden="false" customHeight="false" outlineLevel="0" collapsed="false">
      <c r="A102" s="4" t="s">
        <v>105</v>
      </c>
      <c r="B102" s="5" t="n">
        <v>1976</v>
      </c>
      <c r="C102" s="6" t="n">
        <v>21.37</v>
      </c>
      <c r="D102" s="5" t="n">
        <f aca="false">ROUND(B102/C102,0)</f>
        <v>92</v>
      </c>
      <c r="E102" s="10" t="str">
        <f aca="false">IF(A102="Madrid","Capital — desglosar (ver hoja 2)",IF(AND(B102&gt;=20000,D102&gt;=1000),"A — seguir individual",IF(B102&gt;=5000,"B — secundario / valorar","C — agrupar u omitir")))</f>
        <v>C — agrupar u omitir</v>
      </c>
      <c r="F102" s="4"/>
    </row>
    <row r="103" customFormat="false" ht="15" hidden="false" customHeight="false" outlineLevel="0" collapsed="false">
      <c r="A103" s="4" t="s">
        <v>106</v>
      </c>
      <c r="B103" s="5" t="n">
        <v>2341</v>
      </c>
      <c r="C103" s="6" t="n">
        <v>27.62</v>
      </c>
      <c r="D103" s="5" t="n">
        <f aca="false">ROUND(B103/C103,0)</f>
        <v>85</v>
      </c>
      <c r="E103" s="10" t="str">
        <f aca="false">IF(A103="Madrid","Capital — desglosar (ver hoja 2)",IF(AND(B103&gt;=20000,D103&gt;=1000),"A — seguir individual",IF(B103&gt;=5000,"B — secundario / valorar","C — agrupar u omitir")))</f>
        <v>C — agrupar u omitir</v>
      </c>
      <c r="F103" s="4"/>
    </row>
    <row r="104" customFormat="false" ht="15" hidden="false" customHeight="false" outlineLevel="0" collapsed="false">
      <c r="A104" s="4" t="s">
        <v>107</v>
      </c>
      <c r="B104" s="5" t="n">
        <v>1955</v>
      </c>
      <c r="C104" s="6" t="n">
        <v>23.71</v>
      </c>
      <c r="D104" s="5" t="n">
        <f aca="false">ROUND(B104/C104,0)</f>
        <v>82</v>
      </c>
      <c r="E104" s="10" t="str">
        <f aca="false">IF(A104="Madrid","Capital — desglosar (ver hoja 2)",IF(AND(B104&gt;=20000,D104&gt;=1000),"A — seguir individual",IF(B104&gt;=5000,"B — secundario / valorar","C — agrupar u omitir")))</f>
        <v>C — agrupar u omitir</v>
      </c>
      <c r="F104" s="4"/>
    </row>
    <row r="105" customFormat="false" ht="15" hidden="false" customHeight="false" outlineLevel="0" collapsed="false">
      <c r="A105" s="4" t="s">
        <v>108</v>
      </c>
      <c r="B105" s="5" t="n">
        <v>2867</v>
      </c>
      <c r="C105" s="6" t="n">
        <v>34.89</v>
      </c>
      <c r="D105" s="5" t="n">
        <f aca="false">ROUND(B105/C105,0)</f>
        <v>82</v>
      </c>
      <c r="E105" s="10" t="str">
        <f aca="false">IF(A105="Madrid","Capital — desglosar (ver hoja 2)",IF(AND(B105&gt;=20000,D105&gt;=1000),"A — seguir individual",IF(B105&gt;=5000,"B — secundario / valorar","C — agrupar u omitir")))</f>
        <v>C — agrupar u omitir</v>
      </c>
      <c r="F105" s="4"/>
    </row>
    <row r="106" customFormat="false" ht="15" hidden="false" customHeight="false" outlineLevel="0" collapsed="false">
      <c r="A106" s="4" t="s">
        <v>109</v>
      </c>
      <c r="B106" s="5" t="n">
        <v>2561</v>
      </c>
      <c r="C106" s="6" t="n">
        <v>31.59</v>
      </c>
      <c r="D106" s="5" t="n">
        <f aca="false">ROUND(B106/C106,0)</f>
        <v>81</v>
      </c>
      <c r="E106" s="10" t="str">
        <f aca="false">IF(A106="Madrid","Capital — desglosar (ver hoja 2)",IF(AND(B106&gt;=20000,D106&gt;=1000),"A — seguir individual",IF(B106&gt;=5000,"B — secundario / valorar","C — agrupar u omitir")))</f>
        <v>C — agrupar u omitir</v>
      </c>
      <c r="F106" s="4"/>
    </row>
    <row r="107" customFormat="false" ht="15" hidden="false" customHeight="false" outlineLevel="0" collapsed="false">
      <c r="A107" s="4" t="s">
        <v>110</v>
      </c>
      <c r="B107" s="5" t="n">
        <v>9324</v>
      </c>
      <c r="C107" s="6" t="n">
        <v>115.48</v>
      </c>
      <c r="D107" s="5" t="n">
        <f aca="false">ROUND(B107/C107,0)</f>
        <v>81</v>
      </c>
      <c r="E107" s="9" t="str">
        <f aca="false">IF(A107="Madrid","Capital — desglosar (ver hoja 2)",IF(AND(B107&gt;=20000,D107&gt;=1000),"A — seguir individual",IF(B107&gt;=5000,"B — secundario / valorar","C — agrupar u omitir")))</f>
        <v>B — secundario / valorar</v>
      </c>
      <c r="F107" s="4"/>
    </row>
    <row r="108" customFormat="false" ht="15" hidden="false" customHeight="false" outlineLevel="0" collapsed="false">
      <c r="A108" s="4" t="s">
        <v>111</v>
      </c>
      <c r="B108" s="5" t="n">
        <v>9127</v>
      </c>
      <c r="C108" s="6" t="n">
        <v>114.32</v>
      </c>
      <c r="D108" s="5" t="n">
        <f aca="false">ROUND(B108/C108,0)</f>
        <v>80</v>
      </c>
      <c r="E108" s="9" t="str">
        <f aca="false">IF(A108="Madrid","Capital — desglosar (ver hoja 2)",IF(AND(B108&gt;=20000,D108&gt;=1000),"A — seguir individual",IF(B108&gt;=5000,"B — secundario / valorar","C — agrupar u omitir")))</f>
        <v>B — secundario / valorar</v>
      </c>
      <c r="F108" s="4"/>
    </row>
    <row r="109" customFormat="false" ht="15" hidden="false" customHeight="false" outlineLevel="0" collapsed="false">
      <c r="A109" s="4" t="s">
        <v>112</v>
      </c>
      <c r="B109" s="5" t="n">
        <v>3289</v>
      </c>
      <c r="C109" s="6" t="n">
        <v>42.48</v>
      </c>
      <c r="D109" s="5" t="n">
        <f aca="false">ROUND(B109/C109,0)</f>
        <v>77</v>
      </c>
      <c r="E109" s="10" t="str">
        <f aca="false">IF(A109="Madrid","Capital — desglosar (ver hoja 2)",IF(AND(B109&gt;=20000,D109&gt;=1000),"A — seguir individual",IF(B109&gt;=5000,"B — secundario / valorar","C — agrupar u omitir")))</f>
        <v>C — agrupar u omitir</v>
      </c>
      <c r="F109" s="4"/>
    </row>
    <row r="110" customFormat="false" ht="15" hidden="false" customHeight="false" outlineLevel="0" collapsed="false">
      <c r="A110" s="4" t="s">
        <v>113</v>
      </c>
      <c r="B110" s="5" t="n">
        <v>2034</v>
      </c>
      <c r="C110" s="6" t="n">
        <v>26.5</v>
      </c>
      <c r="D110" s="5" t="n">
        <f aca="false">ROUND(B110/C110,0)</f>
        <v>77</v>
      </c>
      <c r="E110" s="10" t="str">
        <f aca="false">IF(A110="Madrid","Capital — desglosar (ver hoja 2)",IF(AND(B110&gt;=20000,D110&gt;=1000),"A — seguir individual",IF(B110&gt;=5000,"B — secundario / valorar","C — agrupar u omitir")))</f>
        <v>C — agrupar u omitir</v>
      </c>
      <c r="F110" s="4"/>
    </row>
    <row r="111" customFormat="false" ht="15" hidden="false" customHeight="false" outlineLevel="0" collapsed="false">
      <c r="A111" s="4" t="s">
        <v>114</v>
      </c>
      <c r="B111" s="5" t="n">
        <v>9648</v>
      </c>
      <c r="C111" s="6" t="n">
        <v>126.7</v>
      </c>
      <c r="D111" s="5" t="n">
        <f aca="false">ROUND(B111/C111,0)</f>
        <v>76</v>
      </c>
      <c r="E111" s="9" t="str">
        <f aca="false">IF(A111="Madrid","Capital — desglosar (ver hoja 2)",IF(AND(B111&gt;=20000,D111&gt;=1000),"A — seguir individual",IF(B111&gt;=5000,"B — secundario / valorar","C — agrupar u omitir")))</f>
        <v>B — secundario / valorar</v>
      </c>
      <c r="F111" s="4"/>
    </row>
    <row r="112" customFormat="false" ht="15" hidden="false" customHeight="false" outlineLevel="0" collapsed="false">
      <c r="A112" s="4" t="s">
        <v>115</v>
      </c>
      <c r="B112" s="5" t="n">
        <v>1531</v>
      </c>
      <c r="C112" s="6" t="n">
        <v>21.51</v>
      </c>
      <c r="D112" s="5" t="n">
        <f aca="false">ROUND(B112/C112,0)</f>
        <v>71</v>
      </c>
      <c r="E112" s="10" t="str">
        <f aca="false">IF(A112="Madrid","Capital — desglosar (ver hoja 2)",IF(AND(B112&gt;=20000,D112&gt;=1000),"A — seguir individual",IF(B112&gt;=5000,"B — secundario / valorar","C — agrupar u omitir")))</f>
        <v>C — agrupar u omitir</v>
      </c>
      <c r="F112" s="4"/>
    </row>
    <row r="113" customFormat="false" ht="15" hidden="false" customHeight="false" outlineLevel="0" collapsed="false">
      <c r="A113" s="4" t="s">
        <v>116</v>
      </c>
      <c r="B113" s="5" t="n">
        <v>3372</v>
      </c>
      <c r="C113" s="6" t="n">
        <v>47.64</v>
      </c>
      <c r="D113" s="5" t="n">
        <f aca="false">ROUND(B113/C113,0)</f>
        <v>71</v>
      </c>
      <c r="E113" s="10" t="str">
        <f aca="false">IF(A113="Madrid","Capital — desglosar (ver hoja 2)",IF(AND(B113&gt;=20000,D113&gt;=1000),"A — seguir individual",IF(B113&gt;=5000,"B — secundario / valorar","C — agrupar u omitir")))</f>
        <v>C — agrupar u omitir</v>
      </c>
      <c r="F113" s="4"/>
    </row>
    <row r="114" customFormat="false" ht="15" hidden="false" customHeight="false" outlineLevel="0" collapsed="false">
      <c r="A114" s="4" t="s">
        <v>117</v>
      </c>
      <c r="B114" s="5" t="n">
        <v>1660</v>
      </c>
      <c r="C114" s="6" t="n">
        <v>23.99</v>
      </c>
      <c r="D114" s="5" t="n">
        <f aca="false">ROUND(B114/C114,0)</f>
        <v>69</v>
      </c>
      <c r="E114" s="10" t="str">
        <f aca="false">IF(A114="Madrid","Capital — desglosar (ver hoja 2)",IF(AND(B114&gt;=20000,D114&gt;=1000),"A — seguir individual",IF(B114&gt;=5000,"B — secundario / valorar","C — agrupar u omitir")))</f>
        <v>C — agrupar u omitir</v>
      </c>
      <c r="F114" s="4"/>
    </row>
    <row r="115" customFormat="false" ht="15" hidden="false" customHeight="false" outlineLevel="0" collapsed="false">
      <c r="A115" s="4" t="s">
        <v>118</v>
      </c>
      <c r="B115" s="5" t="n">
        <v>961</v>
      </c>
      <c r="C115" s="6" t="n">
        <v>14.07</v>
      </c>
      <c r="D115" s="5" t="n">
        <f aca="false">ROUND(B115/C115,0)</f>
        <v>68</v>
      </c>
      <c r="E115" s="10" t="str">
        <f aca="false">IF(A115="Madrid","Capital — desglosar (ver hoja 2)",IF(AND(B115&gt;=20000,D115&gt;=1000),"A — seguir individual",IF(B115&gt;=5000,"B — secundario / valorar","C — agrupar u omitir")))</f>
        <v>C — agrupar u omitir</v>
      </c>
      <c r="F115" s="4"/>
    </row>
    <row r="116" customFormat="false" ht="15" hidden="false" customHeight="false" outlineLevel="0" collapsed="false">
      <c r="A116" s="4" t="s">
        <v>119</v>
      </c>
      <c r="B116" s="5" t="n">
        <v>8042</v>
      </c>
      <c r="C116" s="6" t="n">
        <v>118.62</v>
      </c>
      <c r="D116" s="5" t="n">
        <f aca="false">ROUND(B116/C116,0)</f>
        <v>68</v>
      </c>
      <c r="E116" s="9" t="str">
        <f aca="false">IF(A116="Madrid","Capital — desglosar (ver hoja 2)",IF(AND(B116&gt;=20000,D116&gt;=1000),"A — seguir individual",IF(B116&gt;=5000,"B — secundario / valorar","C — agrupar u omitir")))</f>
        <v>B — secundario / valorar</v>
      </c>
      <c r="F116" s="4"/>
    </row>
    <row r="117" customFormat="false" ht="15" hidden="false" customHeight="false" outlineLevel="0" collapsed="false">
      <c r="A117" s="4" t="s">
        <v>120</v>
      </c>
      <c r="B117" s="5" t="n">
        <v>3503</v>
      </c>
      <c r="C117" s="6" t="n">
        <v>51.78</v>
      </c>
      <c r="D117" s="5" t="n">
        <f aca="false">ROUND(B117/C117,0)</f>
        <v>68</v>
      </c>
      <c r="E117" s="10" t="str">
        <f aca="false">IF(A117="Madrid","Capital — desglosar (ver hoja 2)",IF(AND(B117&gt;=20000,D117&gt;=1000),"A — seguir individual",IF(B117&gt;=5000,"B — secundario / valorar","C — agrupar u omitir")))</f>
        <v>C — agrupar u omitir</v>
      </c>
      <c r="F117" s="4"/>
    </row>
    <row r="118" customFormat="false" ht="15" hidden="false" customHeight="false" outlineLevel="0" collapsed="false">
      <c r="A118" s="4" t="s">
        <v>121</v>
      </c>
      <c r="B118" s="5" t="n">
        <v>3420</v>
      </c>
      <c r="C118" s="6" t="n">
        <v>50.78</v>
      </c>
      <c r="D118" s="5" t="n">
        <f aca="false">ROUND(B118/C118,0)</f>
        <v>67</v>
      </c>
      <c r="E118" s="10" t="str">
        <f aca="false">IF(A118="Madrid","Capital — desglosar (ver hoja 2)",IF(AND(B118&gt;=20000,D118&gt;=1000),"A — seguir individual",IF(B118&gt;=5000,"B — secundario / valorar","C — agrupar u omitir")))</f>
        <v>C — agrupar u omitir</v>
      </c>
      <c r="F118" s="4"/>
    </row>
    <row r="119" customFormat="false" ht="15" hidden="false" customHeight="false" outlineLevel="0" collapsed="false">
      <c r="A119" s="4" t="s">
        <v>122</v>
      </c>
      <c r="B119" s="5" t="n">
        <v>2281</v>
      </c>
      <c r="C119" s="6" t="n">
        <v>34.14</v>
      </c>
      <c r="D119" s="5" t="n">
        <f aca="false">ROUND(B119/C119,0)</f>
        <v>67</v>
      </c>
      <c r="E119" s="10" t="str">
        <f aca="false">IF(A119="Madrid","Capital — desglosar (ver hoja 2)",IF(AND(B119&gt;=20000,D119&gt;=1000),"A — seguir individual",IF(B119&gt;=5000,"B — secundario / valorar","C — agrupar u omitir")))</f>
        <v>C — agrupar u omitir</v>
      </c>
      <c r="F119" s="4"/>
    </row>
    <row r="120" customFormat="false" ht="15" hidden="false" customHeight="false" outlineLevel="0" collapsed="false">
      <c r="A120" s="4" t="s">
        <v>123</v>
      </c>
      <c r="B120" s="5" t="n">
        <v>1883</v>
      </c>
      <c r="C120" s="6" t="n">
        <v>28.2</v>
      </c>
      <c r="D120" s="5" t="n">
        <f aca="false">ROUND(B120/C120,0)</f>
        <v>67</v>
      </c>
      <c r="E120" s="10" t="str">
        <f aca="false">IF(A120="Madrid","Capital — desglosar (ver hoja 2)",IF(AND(B120&gt;=20000,D120&gt;=1000),"A — seguir individual",IF(B120&gt;=5000,"B — secundario / valorar","C — agrupar u omitir")))</f>
        <v>C — agrupar u omitir</v>
      </c>
      <c r="F120" s="4"/>
    </row>
    <row r="121" customFormat="false" ht="15" hidden="false" customHeight="false" outlineLevel="0" collapsed="false">
      <c r="A121" s="4" t="s">
        <v>124</v>
      </c>
      <c r="B121" s="5" t="n">
        <v>3260</v>
      </c>
      <c r="C121" s="6" t="n">
        <v>48.92</v>
      </c>
      <c r="D121" s="5" t="n">
        <f aca="false">ROUND(B121/C121,0)</f>
        <v>67</v>
      </c>
      <c r="E121" s="10" t="str">
        <f aca="false">IF(A121="Madrid","Capital — desglosar (ver hoja 2)",IF(AND(B121&gt;=20000,D121&gt;=1000),"A — seguir individual",IF(B121&gt;=5000,"B — secundario / valorar","C — agrupar u omitir")))</f>
        <v>C — agrupar u omitir</v>
      </c>
      <c r="F121" s="4"/>
    </row>
    <row r="122" customFormat="false" ht="15" hidden="false" customHeight="false" outlineLevel="0" collapsed="false">
      <c r="A122" s="4" t="s">
        <v>125</v>
      </c>
      <c r="B122" s="5" t="n">
        <v>1414</v>
      </c>
      <c r="C122" s="6" t="n">
        <v>21.55</v>
      </c>
      <c r="D122" s="5" t="n">
        <f aca="false">ROUND(B122/C122,0)</f>
        <v>66</v>
      </c>
      <c r="E122" s="10" t="str">
        <f aca="false">IF(A122="Madrid","Capital — desglosar (ver hoja 2)",IF(AND(B122&gt;=20000,D122&gt;=1000),"A — seguir individual",IF(B122&gt;=5000,"B — secundario / valorar","C — agrupar u omitir")))</f>
        <v>C — agrupar u omitir</v>
      </c>
      <c r="F122" s="4"/>
    </row>
    <row r="123" customFormat="false" ht="15" hidden="false" customHeight="false" outlineLevel="0" collapsed="false">
      <c r="A123" s="4" t="s">
        <v>126</v>
      </c>
      <c r="B123" s="5" t="n">
        <v>1157</v>
      </c>
      <c r="C123" s="6" t="n">
        <v>18.49</v>
      </c>
      <c r="D123" s="5" t="n">
        <f aca="false">ROUND(B123/C123,0)</f>
        <v>63</v>
      </c>
      <c r="E123" s="10" t="str">
        <f aca="false">IF(A123="Madrid","Capital — desglosar (ver hoja 2)",IF(AND(B123&gt;=20000,D123&gt;=1000),"A — seguir individual",IF(B123&gt;=5000,"B — secundario / valorar","C — agrupar u omitir")))</f>
        <v>C — agrupar u omitir</v>
      </c>
      <c r="F123" s="4"/>
    </row>
    <row r="124" customFormat="false" ht="15" hidden="false" customHeight="false" outlineLevel="0" collapsed="false">
      <c r="A124" s="4" t="s">
        <v>127</v>
      </c>
      <c r="B124" s="5" t="n">
        <v>1097</v>
      </c>
      <c r="C124" s="6" t="n">
        <v>17.58</v>
      </c>
      <c r="D124" s="5" t="n">
        <f aca="false">ROUND(B124/C124,0)</f>
        <v>62</v>
      </c>
      <c r="E124" s="10" t="str">
        <f aca="false">IF(A124="Madrid","Capital — desglosar (ver hoja 2)",IF(AND(B124&gt;=20000,D124&gt;=1000),"A — seguir individual",IF(B124&gt;=5000,"B — secundario / valorar","C — agrupar u omitir")))</f>
        <v>C — agrupar u omitir</v>
      </c>
      <c r="F124" s="4"/>
    </row>
    <row r="125" customFormat="false" ht="15" hidden="false" customHeight="false" outlineLevel="0" collapsed="false">
      <c r="A125" s="4" t="s">
        <v>128</v>
      </c>
      <c r="B125" s="5" t="n">
        <v>1715</v>
      </c>
      <c r="C125" s="6" t="n">
        <v>31.18</v>
      </c>
      <c r="D125" s="5" t="n">
        <f aca="false">ROUND(B125/C125,0)</f>
        <v>55</v>
      </c>
      <c r="E125" s="10" t="str">
        <f aca="false">IF(A125="Madrid","Capital — desglosar (ver hoja 2)",IF(AND(B125&gt;=20000,D125&gt;=1000),"A — seguir individual",IF(B125&gt;=5000,"B — secundario / valorar","C — agrupar u omitir")))</f>
        <v>C — agrupar u omitir</v>
      </c>
      <c r="F125" s="4"/>
    </row>
    <row r="126" customFormat="false" ht="15" hidden="false" customHeight="false" outlineLevel="0" collapsed="false">
      <c r="A126" s="4" t="s">
        <v>129</v>
      </c>
      <c r="B126" s="5" t="n">
        <v>4818</v>
      </c>
      <c r="C126" s="6" t="n">
        <v>93.01</v>
      </c>
      <c r="D126" s="5" t="n">
        <f aca="false">ROUND(B126/C126,0)</f>
        <v>52</v>
      </c>
      <c r="E126" s="10" t="str">
        <f aca="false">IF(A126="Madrid","Capital — desglosar (ver hoja 2)",IF(AND(B126&gt;=20000,D126&gt;=1000),"A — seguir individual",IF(B126&gt;=5000,"B — secundario / valorar","C — agrupar u omitir")))</f>
        <v>C — agrupar u omitir</v>
      </c>
      <c r="F126" s="4"/>
    </row>
    <row r="127" customFormat="false" ht="15" hidden="false" customHeight="false" outlineLevel="0" collapsed="false">
      <c r="A127" s="4" t="s">
        <v>130</v>
      </c>
      <c r="B127" s="5" t="n">
        <v>2451</v>
      </c>
      <c r="C127" s="6" t="n">
        <v>47.58</v>
      </c>
      <c r="D127" s="5" t="n">
        <f aca="false">ROUND(B127/C127,0)</f>
        <v>52</v>
      </c>
      <c r="E127" s="10" t="str">
        <f aca="false">IF(A127="Madrid","Capital — desglosar (ver hoja 2)",IF(AND(B127&gt;=20000,D127&gt;=1000),"A — seguir individual",IF(B127&gt;=5000,"B — secundario / valorar","C — agrupar u omitir")))</f>
        <v>C — agrupar u omitir</v>
      </c>
      <c r="F127" s="4"/>
    </row>
    <row r="128" customFormat="false" ht="15" hidden="false" customHeight="false" outlineLevel="0" collapsed="false">
      <c r="A128" s="4" t="s">
        <v>131</v>
      </c>
      <c r="B128" s="5" t="n">
        <v>2870</v>
      </c>
      <c r="C128" s="6" t="n">
        <v>57.32</v>
      </c>
      <c r="D128" s="5" t="n">
        <f aca="false">ROUND(B128/C128,0)</f>
        <v>50</v>
      </c>
      <c r="E128" s="10" t="str">
        <f aca="false">IF(A128="Madrid","Capital — desglosar (ver hoja 2)",IF(AND(B128&gt;=20000,D128&gt;=1000),"A — seguir individual",IF(B128&gt;=5000,"B — secundario / valorar","C — agrupar u omitir")))</f>
        <v>C — agrupar u omitir</v>
      </c>
      <c r="F128" s="4"/>
    </row>
    <row r="129" customFormat="false" ht="15" hidden="false" customHeight="false" outlineLevel="0" collapsed="false">
      <c r="A129" s="4" t="s">
        <v>132</v>
      </c>
      <c r="B129" s="5" t="n">
        <v>5800</v>
      </c>
      <c r="C129" s="6" t="n">
        <v>115.91</v>
      </c>
      <c r="D129" s="5" t="n">
        <f aca="false">ROUND(B129/C129,0)</f>
        <v>50</v>
      </c>
      <c r="E129" s="9" t="str">
        <f aca="false">IF(A129="Madrid","Capital — desglosar (ver hoja 2)",IF(AND(B129&gt;=20000,D129&gt;=1000),"A — seguir individual",IF(B129&gt;=5000,"B — secundario / valorar","C — agrupar u omitir")))</f>
        <v>B — secundario / valorar</v>
      </c>
      <c r="F129" s="4"/>
    </row>
    <row r="130" customFormat="false" ht="15" hidden="false" customHeight="false" outlineLevel="0" collapsed="false">
      <c r="A130" s="4" t="s">
        <v>133</v>
      </c>
      <c r="B130" s="5" t="n">
        <v>2899</v>
      </c>
      <c r="C130" s="6" t="n">
        <v>63.15</v>
      </c>
      <c r="D130" s="5" t="n">
        <f aca="false">ROUND(B130/C130,0)</f>
        <v>46</v>
      </c>
      <c r="E130" s="10" t="str">
        <f aca="false">IF(A130="Madrid","Capital — desglosar (ver hoja 2)",IF(AND(B130&gt;=20000,D130&gt;=1000),"A — seguir individual",IF(B130&gt;=5000,"B — secundario / valorar","C — agrupar u omitir")))</f>
        <v>C — agrupar u omitir</v>
      </c>
      <c r="F130" s="4"/>
    </row>
    <row r="131" customFormat="false" ht="15" hidden="false" customHeight="false" outlineLevel="0" collapsed="false">
      <c r="A131" s="4" t="s">
        <v>134</v>
      </c>
      <c r="B131" s="5" t="n">
        <v>1302</v>
      </c>
      <c r="C131" s="6" t="n">
        <v>31</v>
      </c>
      <c r="D131" s="5" t="n">
        <f aca="false">ROUND(B131/C131,0)</f>
        <v>42</v>
      </c>
      <c r="E131" s="10" t="str">
        <f aca="false">IF(A131="Madrid","Capital — desglosar (ver hoja 2)",IF(AND(B131&gt;=20000,D131&gt;=1000),"A — seguir individual",IF(B131&gt;=5000,"B — secundario / valorar","C — agrupar u omitir")))</f>
        <v>C — agrupar u omitir</v>
      </c>
      <c r="F131" s="4"/>
    </row>
    <row r="132" customFormat="false" ht="15" hidden="false" customHeight="false" outlineLevel="0" collapsed="false">
      <c r="A132" s="4" t="s">
        <v>135</v>
      </c>
      <c r="B132" s="5" t="n">
        <v>565</v>
      </c>
      <c r="C132" s="6" t="n">
        <v>13.53</v>
      </c>
      <c r="D132" s="5" t="n">
        <f aca="false">ROUND(B132/C132,0)</f>
        <v>42</v>
      </c>
      <c r="E132" s="10" t="str">
        <f aca="false">IF(A132="Madrid","Capital — desglosar (ver hoja 2)",IF(AND(B132&gt;=20000,D132&gt;=1000),"A — seguir individual",IF(B132&gt;=5000,"B — secundario / valorar","C — agrupar u omitir")))</f>
        <v>C — agrupar u omitir</v>
      </c>
      <c r="F132" s="4"/>
    </row>
    <row r="133" customFormat="false" ht="15" hidden="false" customHeight="false" outlineLevel="0" collapsed="false">
      <c r="A133" s="4" t="s">
        <v>136</v>
      </c>
      <c r="B133" s="5" t="n">
        <v>3169</v>
      </c>
      <c r="C133" s="6" t="n">
        <v>76.05</v>
      </c>
      <c r="D133" s="5" t="n">
        <f aca="false">ROUND(B133/C133,0)</f>
        <v>42</v>
      </c>
      <c r="E133" s="10" t="str">
        <f aca="false">IF(A133="Madrid","Capital — desglosar (ver hoja 2)",IF(AND(B133&gt;=20000,D133&gt;=1000),"A — seguir individual",IF(B133&gt;=5000,"B — secundario / valorar","C — agrupar u omitir")))</f>
        <v>C — agrupar u omitir</v>
      </c>
      <c r="F133" s="4"/>
    </row>
    <row r="134" customFormat="false" ht="15" hidden="false" customHeight="false" outlineLevel="0" collapsed="false">
      <c r="A134" s="4" t="s">
        <v>137</v>
      </c>
      <c r="B134" s="5" t="n">
        <v>2044</v>
      </c>
      <c r="C134" s="6" t="n">
        <v>50.57</v>
      </c>
      <c r="D134" s="5" t="n">
        <f aca="false">ROUND(B134/C134,0)</f>
        <v>40</v>
      </c>
      <c r="E134" s="10" t="str">
        <f aca="false">IF(A134="Madrid","Capital — desglosar (ver hoja 2)",IF(AND(B134&gt;=20000,D134&gt;=1000),"A — seguir individual",IF(B134&gt;=5000,"B — secundario / valorar","C — agrupar u omitir")))</f>
        <v>C — agrupar u omitir</v>
      </c>
      <c r="F134" s="4"/>
    </row>
    <row r="135" customFormat="false" ht="15" hidden="false" customHeight="false" outlineLevel="0" collapsed="false">
      <c r="A135" s="4" t="s">
        <v>138</v>
      </c>
      <c r="B135" s="5" t="n">
        <v>2372</v>
      </c>
      <c r="C135" s="6" t="n">
        <v>60.59</v>
      </c>
      <c r="D135" s="5" t="n">
        <f aca="false">ROUND(B135/C135,0)</f>
        <v>39</v>
      </c>
      <c r="E135" s="10" t="str">
        <f aca="false">IF(A135="Madrid","Capital — desglosar (ver hoja 2)",IF(AND(B135&gt;=20000,D135&gt;=1000),"A — seguir individual",IF(B135&gt;=5000,"B — secundario / valorar","C — agrupar u omitir")))</f>
        <v>C — agrupar u omitir</v>
      </c>
      <c r="F135" s="4"/>
    </row>
    <row r="136" customFormat="false" ht="15" hidden="false" customHeight="false" outlineLevel="0" collapsed="false">
      <c r="A136" s="4" t="s">
        <v>139</v>
      </c>
      <c r="B136" s="5" t="n">
        <v>1011</v>
      </c>
      <c r="C136" s="6" t="n">
        <v>27.98</v>
      </c>
      <c r="D136" s="5" t="n">
        <f aca="false">ROUND(B136/C136,0)</f>
        <v>36</v>
      </c>
      <c r="E136" s="10" t="str">
        <f aca="false">IF(A136="Madrid","Capital — desglosar (ver hoja 2)",IF(AND(B136&gt;=20000,D136&gt;=1000),"A — seguir individual",IF(B136&gt;=5000,"B — secundario / valorar","C — agrupar u omitir")))</f>
        <v>C — agrupar u omitir</v>
      </c>
      <c r="F136" s="4"/>
    </row>
    <row r="137" customFormat="false" ht="15" hidden="false" customHeight="false" outlineLevel="0" collapsed="false">
      <c r="A137" s="4" t="s">
        <v>140</v>
      </c>
      <c r="B137" s="5" t="n">
        <v>612</v>
      </c>
      <c r="C137" s="6" t="n">
        <v>17.59</v>
      </c>
      <c r="D137" s="5" t="n">
        <f aca="false">ROUND(B137/C137,0)</f>
        <v>35</v>
      </c>
      <c r="E137" s="10" t="str">
        <f aca="false">IF(A137="Madrid","Capital — desglosar (ver hoja 2)",IF(AND(B137&gt;=20000,D137&gt;=1000),"A — seguir individual",IF(B137&gt;=5000,"B — secundario / valorar","C — agrupar u omitir")))</f>
        <v>C — agrupar u omitir</v>
      </c>
      <c r="F137" s="4"/>
    </row>
    <row r="138" customFormat="false" ht="15" hidden="false" customHeight="false" outlineLevel="0" collapsed="false">
      <c r="A138" s="4" t="s">
        <v>141</v>
      </c>
      <c r="B138" s="5" t="n">
        <v>832</v>
      </c>
      <c r="C138" s="6" t="n">
        <v>25.91</v>
      </c>
      <c r="D138" s="5" t="n">
        <f aca="false">ROUND(B138/C138,0)</f>
        <v>32</v>
      </c>
      <c r="E138" s="10" t="str">
        <f aca="false">IF(A138="Madrid","Capital — desglosar (ver hoja 2)",IF(AND(B138&gt;=20000,D138&gt;=1000),"A — seguir individual",IF(B138&gt;=5000,"B — secundario / valorar","C — agrupar u omitir")))</f>
        <v>C — agrupar u omitir</v>
      </c>
      <c r="F138" s="4"/>
    </row>
    <row r="139" customFormat="false" ht="15" hidden="false" customHeight="false" outlineLevel="0" collapsed="false">
      <c r="A139" s="4" t="s">
        <v>142</v>
      </c>
      <c r="B139" s="5" t="n">
        <v>2152</v>
      </c>
      <c r="C139" s="6" t="n">
        <v>67.49</v>
      </c>
      <c r="D139" s="5" t="n">
        <f aca="false">ROUND(B139/C139,0)</f>
        <v>32</v>
      </c>
      <c r="E139" s="10" t="str">
        <f aca="false">IF(A139="Madrid","Capital — desglosar (ver hoja 2)",IF(AND(B139&gt;=20000,D139&gt;=1000),"A — seguir individual",IF(B139&gt;=5000,"B — secundario / valorar","C — agrupar u omitir")))</f>
        <v>C — agrupar u omitir</v>
      </c>
      <c r="F139" s="4"/>
    </row>
    <row r="140" customFormat="false" ht="15" hidden="false" customHeight="false" outlineLevel="0" collapsed="false">
      <c r="A140" s="4" t="s">
        <v>143</v>
      </c>
      <c r="B140" s="5" t="n">
        <v>859</v>
      </c>
      <c r="C140" s="6" t="n">
        <v>29.32</v>
      </c>
      <c r="D140" s="5" t="n">
        <f aca="false">ROUND(B140/C140,0)</f>
        <v>29</v>
      </c>
      <c r="E140" s="10" t="str">
        <f aca="false">IF(A140="Madrid","Capital — desglosar (ver hoja 2)",IF(AND(B140&gt;=20000,D140&gt;=1000),"A — seguir individual",IF(B140&gt;=5000,"B — secundario / valorar","C — agrupar u omitir")))</f>
        <v>C — agrupar u omitir</v>
      </c>
      <c r="F140" s="4"/>
    </row>
    <row r="141" customFormat="false" ht="15" hidden="false" customHeight="false" outlineLevel="0" collapsed="false">
      <c r="A141" s="4" t="s">
        <v>144</v>
      </c>
      <c r="B141" s="5" t="n">
        <v>1468</v>
      </c>
      <c r="C141" s="6" t="n">
        <v>51.28</v>
      </c>
      <c r="D141" s="5" t="n">
        <f aca="false">ROUND(B141/C141,0)</f>
        <v>29</v>
      </c>
      <c r="E141" s="10" t="str">
        <f aca="false">IF(A141="Madrid","Capital — desglosar (ver hoja 2)",IF(AND(B141&gt;=20000,D141&gt;=1000),"A — seguir individual",IF(B141&gt;=5000,"B — secundario / valorar","C — agrupar u omitir")))</f>
        <v>C — agrupar u omitir</v>
      </c>
      <c r="F141" s="4"/>
    </row>
    <row r="142" customFormat="false" ht="15" hidden="false" customHeight="false" outlineLevel="0" collapsed="false">
      <c r="A142" s="4" t="s">
        <v>145</v>
      </c>
      <c r="B142" s="5" t="n">
        <v>905</v>
      </c>
      <c r="C142" s="6" t="n">
        <v>31.82</v>
      </c>
      <c r="D142" s="5" t="n">
        <f aca="false">ROUND(B142/C142,0)</f>
        <v>28</v>
      </c>
      <c r="E142" s="10" t="str">
        <f aca="false">IF(A142="Madrid","Capital — desglosar (ver hoja 2)",IF(AND(B142&gt;=20000,D142&gt;=1000),"A — seguir individual",IF(B142&gt;=5000,"B — secundario / valorar","C — agrupar u omitir")))</f>
        <v>C — agrupar u omitir</v>
      </c>
      <c r="F142" s="4"/>
    </row>
    <row r="143" customFormat="false" ht="15" hidden="false" customHeight="false" outlineLevel="0" collapsed="false">
      <c r="A143" s="4" t="s">
        <v>146</v>
      </c>
      <c r="B143" s="5" t="n">
        <v>732</v>
      </c>
      <c r="C143" s="6" t="n">
        <v>26</v>
      </c>
      <c r="D143" s="5" t="n">
        <f aca="false">ROUND(B143/C143,0)</f>
        <v>28</v>
      </c>
      <c r="E143" s="10" t="str">
        <f aca="false">IF(A143="Madrid","Capital — desglosar (ver hoja 2)",IF(AND(B143&gt;=20000,D143&gt;=1000),"A — seguir individual",IF(B143&gt;=5000,"B — secundario / valorar","C — agrupar u omitir")))</f>
        <v>C — agrupar u omitir</v>
      </c>
      <c r="F143" s="4"/>
    </row>
    <row r="144" customFormat="false" ht="15" hidden="false" customHeight="false" outlineLevel="0" collapsed="false">
      <c r="A144" s="4" t="s">
        <v>147</v>
      </c>
      <c r="B144" s="5" t="n">
        <v>795</v>
      </c>
      <c r="C144" s="6" t="n">
        <v>28.8</v>
      </c>
      <c r="D144" s="5" t="n">
        <f aca="false">ROUND(B144/C144,0)</f>
        <v>28</v>
      </c>
      <c r="E144" s="10" t="str">
        <f aca="false">IF(A144="Madrid","Capital — desglosar (ver hoja 2)",IF(AND(B144&gt;=20000,D144&gt;=1000),"A — seguir individual",IF(B144&gt;=5000,"B — secundario / valorar","C — agrupar u omitir")))</f>
        <v>C — agrupar u omitir</v>
      </c>
      <c r="F144" s="4"/>
    </row>
    <row r="145" customFormat="false" ht="15" hidden="false" customHeight="false" outlineLevel="0" collapsed="false">
      <c r="A145" s="4" t="s">
        <v>148</v>
      </c>
      <c r="B145" s="5" t="n">
        <v>1122</v>
      </c>
      <c r="C145" s="6" t="n">
        <v>42.13</v>
      </c>
      <c r="D145" s="5" t="n">
        <f aca="false">ROUND(B145/C145,0)</f>
        <v>27</v>
      </c>
      <c r="E145" s="10" t="str">
        <f aca="false">IF(A145="Madrid","Capital — desglosar (ver hoja 2)",IF(AND(B145&gt;=20000,D145&gt;=1000),"A — seguir individual",IF(B145&gt;=5000,"B — secundario / valorar","C — agrupar u omitir")))</f>
        <v>C — agrupar u omitir</v>
      </c>
      <c r="F145" s="4"/>
    </row>
    <row r="146" customFormat="false" ht="15" hidden="false" customHeight="false" outlineLevel="0" collapsed="false">
      <c r="A146" s="4" t="s">
        <v>149</v>
      </c>
      <c r="B146" s="5" t="n">
        <v>429</v>
      </c>
      <c r="C146" s="6" t="n">
        <v>16.57</v>
      </c>
      <c r="D146" s="5" t="n">
        <f aca="false">ROUND(B146/C146,0)</f>
        <v>26</v>
      </c>
      <c r="E146" s="10" t="str">
        <f aca="false">IF(A146="Madrid","Capital — desglosar (ver hoja 2)",IF(AND(B146&gt;=20000,D146&gt;=1000),"A — seguir individual",IF(B146&gt;=5000,"B — secundario / valorar","C — agrupar u omitir")))</f>
        <v>C — agrupar u omitir</v>
      </c>
      <c r="F146" s="4"/>
    </row>
    <row r="147" customFormat="false" ht="15" hidden="false" customHeight="false" outlineLevel="0" collapsed="false">
      <c r="A147" s="4" t="s">
        <v>150</v>
      </c>
      <c r="B147" s="5" t="n">
        <v>1008</v>
      </c>
      <c r="C147" s="6" t="n">
        <v>41.44</v>
      </c>
      <c r="D147" s="5" t="n">
        <f aca="false">ROUND(B147/C147,0)</f>
        <v>24</v>
      </c>
      <c r="E147" s="10" t="str">
        <f aca="false">IF(A147="Madrid","Capital — desglosar (ver hoja 2)",IF(AND(B147&gt;=20000,D147&gt;=1000),"A — seguir individual",IF(B147&gt;=5000,"B — secundario / valorar","C — agrupar u omitir")))</f>
        <v>C — agrupar u omitir</v>
      </c>
      <c r="F147" s="4"/>
    </row>
    <row r="148" customFormat="false" ht="15" hidden="false" customHeight="false" outlineLevel="0" collapsed="false">
      <c r="A148" s="4" t="s">
        <v>151</v>
      </c>
      <c r="B148" s="5" t="n">
        <v>288</v>
      </c>
      <c r="C148" s="6" t="n">
        <v>12.87</v>
      </c>
      <c r="D148" s="5" t="n">
        <f aca="false">ROUND(B148/C148,0)</f>
        <v>22</v>
      </c>
      <c r="E148" s="10" t="str">
        <f aca="false">IF(A148="Madrid","Capital — desglosar (ver hoja 2)",IF(AND(B148&gt;=20000,D148&gt;=1000),"A — seguir individual",IF(B148&gt;=5000,"B — secundario / valorar","C — agrupar u omitir")))</f>
        <v>C — agrupar u omitir</v>
      </c>
      <c r="F148" s="4"/>
    </row>
    <row r="149" customFormat="false" ht="15" hidden="false" customHeight="false" outlineLevel="0" collapsed="false">
      <c r="A149" s="4" t="s">
        <v>152</v>
      </c>
      <c r="B149" s="5" t="n">
        <v>1584</v>
      </c>
      <c r="C149" s="6" t="n">
        <v>74.41</v>
      </c>
      <c r="D149" s="5" t="n">
        <f aca="false">ROUND(B149/C149,0)</f>
        <v>21</v>
      </c>
      <c r="E149" s="10" t="str">
        <f aca="false">IF(A149="Madrid","Capital — desglosar (ver hoja 2)",IF(AND(B149&gt;=20000,D149&gt;=1000),"A — seguir individual",IF(B149&gt;=5000,"B — secundario / valorar","C — agrupar u omitir")))</f>
        <v>C — agrupar u omitir</v>
      </c>
      <c r="F149" s="4"/>
    </row>
    <row r="150" customFormat="false" ht="15" hidden="false" customHeight="false" outlineLevel="0" collapsed="false">
      <c r="A150" s="4" t="s">
        <v>153</v>
      </c>
      <c r="B150" s="5" t="n">
        <v>110</v>
      </c>
      <c r="C150" s="6" t="n">
        <v>5.44</v>
      </c>
      <c r="D150" s="5" t="n">
        <f aca="false">ROUND(B150/C150,0)</f>
        <v>20</v>
      </c>
      <c r="E150" s="10" t="str">
        <f aca="false">IF(A150="Madrid","Capital — desglosar (ver hoja 2)",IF(AND(B150&gt;=20000,D150&gt;=1000),"A — seguir individual",IF(B150&gt;=5000,"B — secundario / valorar","C — agrupar u omitir")))</f>
        <v>C — agrupar u omitir</v>
      </c>
      <c r="F150" s="4"/>
    </row>
    <row r="151" customFormat="false" ht="15" hidden="false" customHeight="false" outlineLevel="0" collapsed="false">
      <c r="A151" s="4" t="s">
        <v>154</v>
      </c>
      <c r="B151" s="5" t="n">
        <v>579</v>
      </c>
      <c r="C151" s="6" t="n">
        <v>30.15</v>
      </c>
      <c r="D151" s="5" t="n">
        <f aca="false">ROUND(B151/C151,0)</f>
        <v>19</v>
      </c>
      <c r="E151" s="10" t="str">
        <f aca="false">IF(A151="Madrid","Capital — desglosar (ver hoja 2)",IF(AND(B151&gt;=20000,D151&gt;=1000),"A — seguir individual",IF(B151&gt;=5000,"B — secundario / valorar","C — agrupar u omitir")))</f>
        <v>C — agrupar u omitir</v>
      </c>
      <c r="F151" s="4"/>
    </row>
    <row r="152" customFormat="false" ht="15" hidden="false" customHeight="false" outlineLevel="0" collapsed="false">
      <c r="A152" s="4" t="s">
        <v>155</v>
      </c>
      <c r="B152" s="5" t="n">
        <v>1473</v>
      </c>
      <c r="C152" s="6" t="n">
        <v>79.1</v>
      </c>
      <c r="D152" s="5" t="n">
        <f aca="false">ROUND(B152/C152,0)</f>
        <v>19</v>
      </c>
      <c r="E152" s="10" t="str">
        <f aca="false">IF(A152="Madrid","Capital — desglosar (ver hoja 2)",IF(AND(B152&gt;=20000,D152&gt;=1000),"A — seguir individual",IF(B152&gt;=5000,"B — secundario / valorar","C — agrupar u omitir")))</f>
        <v>C — agrupar u omitir</v>
      </c>
      <c r="F152" s="4"/>
    </row>
    <row r="153" customFormat="false" ht="15" hidden="false" customHeight="false" outlineLevel="0" collapsed="false">
      <c r="A153" s="4" t="s">
        <v>156</v>
      </c>
      <c r="B153" s="5" t="n">
        <v>617</v>
      </c>
      <c r="C153" s="6" t="n">
        <v>34.47</v>
      </c>
      <c r="D153" s="5" t="n">
        <f aca="false">ROUND(B153/C153,0)</f>
        <v>18</v>
      </c>
      <c r="E153" s="10" t="str">
        <f aca="false">IF(A153="Madrid","Capital — desglosar (ver hoja 2)",IF(AND(B153&gt;=20000,D153&gt;=1000),"A — seguir individual",IF(B153&gt;=5000,"B — secundario / valorar","C — agrupar u omitir")))</f>
        <v>C — agrupar u omitir</v>
      </c>
      <c r="F153" s="4"/>
    </row>
    <row r="154" customFormat="false" ht="15" hidden="false" customHeight="false" outlineLevel="0" collapsed="false">
      <c r="A154" s="4" t="s">
        <v>157</v>
      </c>
      <c r="B154" s="5" t="n">
        <v>242</v>
      </c>
      <c r="C154" s="6" t="n">
        <v>14.32</v>
      </c>
      <c r="D154" s="5" t="n">
        <f aca="false">ROUND(B154/C154,0)</f>
        <v>17</v>
      </c>
      <c r="E154" s="10" t="str">
        <f aca="false">IF(A154="Madrid","Capital — desglosar (ver hoja 2)",IF(AND(B154&gt;=20000,D154&gt;=1000),"A — seguir individual",IF(B154&gt;=5000,"B — secundario / valorar","C — agrupar u omitir")))</f>
        <v>C — agrupar u omitir</v>
      </c>
      <c r="F154" s="4"/>
    </row>
    <row r="155" customFormat="false" ht="15" hidden="false" customHeight="false" outlineLevel="0" collapsed="false">
      <c r="A155" s="4" t="s">
        <v>158</v>
      </c>
      <c r="B155" s="5" t="n">
        <v>870</v>
      </c>
      <c r="C155" s="6" t="n">
        <v>52.2</v>
      </c>
      <c r="D155" s="5" t="n">
        <f aca="false">ROUND(B155/C155,0)</f>
        <v>17</v>
      </c>
      <c r="E155" s="10" t="str">
        <f aca="false">IF(A155="Madrid","Capital — desglosar (ver hoja 2)",IF(AND(B155&gt;=20000,D155&gt;=1000),"A — seguir individual",IF(B155&gt;=5000,"B — secundario / valorar","C — agrupar u omitir")))</f>
        <v>C — agrupar u omitir</v>
      </c>
      <c r="F155" s="4"/>
    </row>
    <row r="156" customFormat="false" ht="15" hidden="false" customHeight="false" outlineLevel="0" collapsed="false">
      <c r="A156" s="4" t="s">
        <v>159</v>
      </c>
      <c r="B156" s="5" t="n">
        <v>396</v>
      </c>
      <c r="C156" s="6" t="n">
        <v>24.12</v>
      </c>
      <c r="D156" s="5" t="n">
        <f aca="false">ROUND(B156/C156,0)</f>
        <v>16</v>
      </c>
      <c r="E156" s="10" t="str">
        <f aca="false">IF(A156="Madrid","Capital — desglosar (ver hoja 2)",IF(AND(B156&gt;=20000,D156&gt;=1000),"A — seguir individual",IF(B156&gt;=5000,"B — secundario / valorar","C — agrupar u omitir")))</f>
        <v>C — agrupar u omitir</v>
      </c>
      <c r="F156" s="4"/>
    </row>
    <row r="157" customFormat="false" ht="15" hidden="false" customHeight="false" outlineLevel="0" collapsed="false">
      <c r="A157" s="4" t="s">
        <v>160</v>
      </c>
      <c r="B157" s="5" t="n">
        <v>332</v>
      </c>
      <c r="C157" s="6" t="n">
        <v>23.29</v>
      </c>
      <c r="D157" s="5" t="n">
        <f aca="false">ROUND(B157/C157,0)</f>
        <v>14</v>
      </c>
      <c r="E157" s="10" t="str">
        <f aca="false">IF(A157="Madrid","Capital — desglosar (ver hoja 2)",IF(AND(B157&gt;=20000,D157&gt;=1000),"A — seguir individual",IF(B157&gt;=5000,"B — secundario / valorar","C — agrupar u omitir")))</f>
        <v>C — agrupar u omitir</v>
      </c>
      <c r="F157" s="4"/>
    </row>
    <row r="158" customFormat="false" ht="15" hidden="false" customHeight="false" outlineLevel="0" collapsed="false">
      <c r="A158" s="4" t="s">
        <v>161</v>
      </c>
      <c r="B158" s="5" t="n">
        <v>165</v>
      </c>
      <c r="C158" s="6" t="n">
        <v>12.02</v>
      </c>
      <c r="D158" s="5" t="n">
        <f aca="false">ROUND(B158/C158,0)</f>
        <v>14</v>
      </c>
      <c r="E158" s="10" t="str">
        <f aca="false">IF(A158="Madrid","Capital — desglosar (ver hoja 2)",IF(AND(B158&gt;=20000,D158&gt;=1000),"A — seguir individual",IF(B158&gt;=5000,"B — secundario / valorar","C — agrupar u omitir")))</f>
        <v>C — agrupar u omitir</v>
      </c>
      <c r="F158" s="4"/>
    </row>
    <row r="159" customFormat="false" ht="15" hidden="false" customHeight="false" outlineLevel="0" collapsed="false">
      <c r="A159" s="4" t="s">
        <v>162</v>
      </c>
      <c r="B159" s="5" t="n">
        <v>577</v>
      </c>
      <c r="C159" s="6" t="n">
        <v>44.33</v>
      </c>
      <c r="D159" s="5" t="n">
        <f aca="false">ROUND(B159/C159,0)</f>
        <v>13</v>
      </c>
      <c r="E159" s="10" t="str">
        <f aca="false">IF(A159="Madrid","Capital — desglosar (ver hoja 2)",IF(AND(B159&gt;=20000,D159&gt;=1000),"A — seguir individual",IF(B159&gt;=5000,"B — secundario / valorar","C — agrupar u omitir")))</f>
        <v>C — agrupar u omitir</v>
      </c>
      <c r="F159" s="4"/>
    </row>
    <row r="160" customFormat="false" ht="15" hidden="false" customHeight="false" outlineLevel="0" collapsed="false">
      <c r="A160" s="4" t="s">
        <v>163</v>
      </c>
      <c r="B160" s="5" t="n">
        <v>759</v>
      </c>
      <c r="C160" s="6" t="n">
        <v>58.33</v>
      </c>
      <c r="D160" s="5" t="n">
        <f aca="false">ROUND(B160/C160,0)</f>
        <v>13</v>
      </c>
      <c r="E160" s="10" t="str">
        <f aca="false">IF(A160="Madrid","Capital — desglosar (ver hoja 2)",IF(AND(B160&gt;=20000,D160&gt;=1000),"A — seguir individual",IF(B160&gt;=5000,"B — secundario / valorar","C — agrupar u omitir")))</f>
        <v>C — agrupar u omitir</v>
      </c>
      <c r="F160" s="4"/>
    </row>
    <row r="161" customFormat="false" ht="15" hidden="false" customHeight="false" outlineLevel="0" collapsed="false">
      <c r="A161" s="4" t="s">
        <v>164</v>
      </c>
      <c r="B161" s="5" t="n">
        <v>404</v>
      </c>
      <c r="C161" s="6" t="n">
        <v>31.95</v>
      </c>
      <c r="D161" s="5" t="n">
        <f aca="false">ROUND(B161/C161,0)</f>
        <v>13</v>
      </c>
      <c r="E161" s="10" t="str">
        <f aca="false">IF(A161="Madrid","Capital — desglosar (ver hoja 2)",IF(AND(B161&gt;=20000,D161&gt;=1000),"A — seguir individual",IF(B161&gt;=5000,"B — secundario / valorar","C — agrupar u omitir")))</f>
        <v>C — agrupar u omitir</v>
      </c>
      <c r="F161" s="4"/>
    </row>
    <row r="162" customFormat="false" ht="15" hidden="false" customHeight="false" outlineLevel="0" collapsed="false">
      <c r="A162" s="4" t="s">
        <v>165</v>
      </c>
      <c r="B162" s="5" t="n">
        <v>252</v>
      </c>
      <c r="C162" s="6" t="n">
        <v>20.04</v>
      </c>
      <c r="D162" s="5" t="n">
        <f aca="false">ROUND(B162/C162,0)</f>
        <v>13</v>
      </c>
      <c r="E162" s="10" t="str">
        <f aca="false">IF(A162="Madrid","Capital — desglosar (ver hoja 2)",IF(AND(B162&gt;=20000,D162&gt;=1000),"A — seguir individual",IF(B162&gt;=5000,"B — secundario / valorar","C — agrupar u omitir")))</f>
        <v>C — agrupar u omitir</v>
      </c>
      <c r="F162" s="4"/>
    </row>
    <row r="163" customFormat="false" ht="15" hidden="false" customHeight="false" outlineLevel="0" collapsed="false">
      <c r="A163" s="4" t="s">
        <v>166</v>
      </c>
      <c r="B163" s="5" t="n">
        <v>1704</v>
      </c>
      <c r="C163" s="6" t="n">
        <v>150.28</v>
      </c>
      <c r="D163" s="5" t="n">
        <f aca="false">ROUND(B163/C163,0)</f>
        <v>11</v>
      </c>
      <c r="E163" s="10" t="str">
        <f aca="false">IF(A163="Madrid","Capital — desglosar (ver hoja 2)",IF(AND(B163&gt;=20000,D163&gt;=1000),"A — seguir individual",IF(B163&gt;=5000,"B — secundario / valorar","C — agrupar u omitir")))</f>
        <v>C — agrupar u omitir</v>
      </c>
      <c r="F163" s="4"/>
    </row>
    <row r="164" customFormat="false" ht="15" hidden="false" customHeight="false" outlineLevel="0" collapsed="false">
      <c r="A164" s="4" t="s">
        <v>167</v>
      </c>
      <c r="B164" s="5" t="n">
        <v>441</v>
      </c>
      <c r="C164" s="6" t="n">
        <v>39.66</v>
      </c>
      <c r="D164" s="5" t="n">
        <f aca="false">ROUND(B164/C164,0)</f>
        <v>11</v>
      </c>
      <c r="E164" s="10" t="str">
        <f aca="false">IF(A164="Madrid","Capital — desglosar (ver hoja 2)",IF(AND(B164&gt;=20000,D164&gt;=1000),"A — seguir individual",IF(B164&gt;=5000,"B — secundario / valorar","C — agrupar u omitir")))</f>
        <v>C — agrupar u omitir</v>
      </c>
      <c r="F164" s="4"/>
    </row>
    <row r="165" customFormat="false" ht="15" hidden="false" customHeight="false" outlineLevel="0" collapsed="false">
      <c r="A165" s="4" t="s">
        <v>168</v>
      </c>
      <c r="B165" s="5" t="n">
        <v>267</v>
      </c>
      <c r="C165" s="6" t="n">
        <v>25.01</v>
      </c>
      <c r="D165" s="5" t="n">
        <f aca="false">ROUND(B165/C165,0)</f>
        <v>11</v>
      </c>
      <c r="E165" s="10" t="str">
        <f aca="false">IF(A165="Madrid","Capital — desglosar (ver hoja 2)",IF(AND(B165&gt;=20000,D165&gt;=1000),"A — seguir individual",IF(B165&gt;=5000,"B — secundario / valorar","C — agrupar u omitir")))</f>
        <v>C — agrupar u omitir</v>
      </c>
      <c r="F165" s="4"/>
    </row>
    <row r="166" customFormat="false" ht="15" hidden="false" customHeight="false" outlineLevel="0" collapsed="false">
      <c r="A166" s="4" t="s">
        <v>169</v>
      </c>
      <c r="B166" s="5" t="n">
        <v>219</v>
      </c>
      <c r="C166" s="6" t="n">
        <v>20.57</v>
      </c>
      <c r="D166" s="5" t="n">
        <f aca="false">ROUND(B166/C166,0)</f>
        <v>11</v>
      </c>
      <c r="E166" s="10" t="str">
        <f aca="false">IF(A166="Madrid","Capital — desglosar (ver hoja 2)",IF(AND(B166&gt;=20000,D166&gt;=1000),"A — seguir individual",IF(B166&gt;=5000,"B — secundario / valorar","C — agrupar u omitir")))</f>
        <v>C — agrupar u omitir</v>
      </c>
      <c r="F166" s="4"/>
    </row>
    <row r="167" customFormat="false" ht="15" hidden="false" customHeight="false" outlineLevel="0" collapsed="false">
      <c r="A167" s="4" t="s">
        <v>170</v>
      </c>
      <c r="B167" s="5" t="n">
        <v>598</v>
      </c>
      <c r="C167" s="6" t="n">
        <v>57.94</v>
      </c>
      <c r="D167" s="5" t="n">
        <f aca="false">ROUND(B167/C167,0)</f>
        <v>10</v>
      </c>
      <c r="E167" s="10" t="str">
        <f aca="false">IF(A167="Madrid","Capital — desglosar (ver hoja 2)",IF(AND(B167&gt;=20000,D167&gt;=1000),"A — seguir individual",IF(B167&gt;=5000,"B — secundario / valorar","C — agrupar u omitir")))</f>
        <v>C — agrupar u omitir</v>
      </c>
      <c r="F167" s="4"/>
    </row>
    <row r="168" customFormat="false" ht="15" hidden="false" customHeight="false" outlineLevel="0" collapsed="false">
      <c r="A168" s="4" t="s">
        <v>171</v>
      </c>
      <c r="B168" s="5" t="n">
        <v>658</v>
      </c>
      <c r="C168" s="6" t="n">
        <v>64.31</v>
      </c>
      <c r="D168" s="5" t="n">
        <f aca="false">ROUND(B168/C168,0)</f>
        <v>10</v>
      </c>
      <c r="E168" s="10" t="str">
        <f aca="false">IF(A168="Madrid","Capital — desglosar (ver hoja 2)",IF(AND(B168&gt;=20000,D168&gt;=1000),"A — seguir individual",IF(B168&gt;=5000,"B — secundario / valorar","C — agrupar u omitir")))</f>
        <v>C — agrupar u omitir</v>
      </c>
      <c r="F168" s="4"/>
    </row>
    <row r="169" customFormat="false" ht="15" hidden="false" customHeight="false" outlineLevel="0" collapsed="false">
      <c r="A169" s="4" t="s">
        <v>172</v>
      </c>
      <c r="B169" s="5" t="n">
        <v>183</v>
      </c>
      <c r="C169" s="6" t="n">
        <v>18.19</v>
      </c>
      <c r="D169" s="5" t="n">
        <f aca="false">ROUND(B169/C169,0)</f>
        <v>10</v>
      </c>
      <c r="E169" s="10" t="str">
        <f aca="false">IF(A169="Madrid","Capital — desglosar (ver hoja 2)",IF(AND(B169&gt;=20000,D169&gt;=1000),"A — seguir individual",IF(B169&gt;=5000,"B — secundario / valorar","C — agrupar u omitir")))</f>
        <v>C — agrupar u omitir</v>
      </c>
      <c r="F169" s="4"/>
    </row>
    <row r="170" customFormat="false" ht="15" hidden="false" customHeight="false" outlineLevel="0" collapsed="false">
      <c r="A170" s="4" t="s">
        <v>173</v>
      </c>
      <c r="B170" s="5" t="n">
        <v>233</v>
      </c>
      <c r="C170" s="6" t="n">
        <v>24.93</v>
      </c>
      <c r="D170" s="5" t="n">
        <f aca="false">ROUND(B170/C170,0)</f>
        <v>9</v>
      </c>
      <c r="E170" s="10" t="str">
        <f aca="false">IF(A170="Madrid","Capital — desglosar (ver hoja 2)",IF(AND(B170&gt;=20000,D170&gt;=1000),"A — seguir individual",IF(B170&gt;=5000,"B — secundario / valorar","C — agrupar u omitir")))</f>
        <v>C — agrupar u omitir</v>
      </c>
      <c r="F170" s="4"/>
    </row>
    <row r="171" customFormat="false" ht="15" hidden="false" customHeight="false" outlineLevel="0" collapsed="false">
      <c r="A171" s="4" t="s">
        <v>174</v>
      </c>
      <c r="B171" s="5" t="n">
        <v>475</v>
      </c>
      <c r="C171" s="6" t="n">
        <v>52.7</v>
      </c>
      <c r="D171" s="5" t="n">
        <f aca="false">ROUND(B171/C171,0)</f>
        <v>9</v>
      </c>
      <c r="E171" s="10" t="str">
        <f aca="false">IF(A171="Madrid","Capital — desglosar (ver hoja 2)",IF(AND(B171&gt;=20000,D171&gt;=1000),"A — seguir individual",IF(B171&gt;=5000,"B — secundario / valorar","C — agrupar u omitir")))</f>
        <v>C — agrupar u omitir</v>
      </c>
      <c r="F171" s="4"/>
    </row>
    <row r="172" customFormat="false" ht="15" hidden="false" customHeight="false" outlineLevel="0" collapsed="false">
      <c r="A172" s="4" t="s">
        <v>175</v>
      </c>
      <c r="B172" s="5" t="n">
        <v>69</v>
      </c>
      <c r="C172" s="6" t="n">
        <v>8.46</v>
      </c>
      <c r="D172" s="5" t="n">
        <f aca="false">ROUND(B172/C172,0)</f>
        <v>8</v>
      </c>
      <c r="E172" s="10" t="str">
        <f aca="false">IF(A172="Madrid","Capital — desglosar (ver hoja 2)",IF(AND(B172&gt;=20000,D172&gt;=1000),"A — seguir individual",IF(B172&gt;=5000,"B — secundario / valorar","C — agrupar u omitir")))</f>
        <v>C — agrupar u omitir</v>
      </c>
      <c r="F172" s="4"/>
    </row>
    <row r="173" customFormat="false" ht="15" hidden="false" customHeight="false" outlineLevel="0" collapsed="false">
      <c r="A173" s="4" t="s">
        <v>176</v>
      </c>
      <c r="B173" s="5" t="n">
        <v>200</v>
      </c>
      <c r="C173" s="6" t="n">
        <v>25.84</v>
      </c>
      <c r="D173" s="5" t="n">
        <f aca="false">ROUND(B173/C173,0)</f>
        <v>8</v>
      </c>
      <c r="E173" s="10" t="str">
        <f aca="false">IF(A173="Madrid","Capital — desglosar (ver hoja 2)",IF(AND(B173&gt;=20000,D173&gt;=1000),"A — seguir individual",IF(B173&gt;=5000,"B — secundario / valorar","C — agrupar u omitir")))</f>
        <v>C — agrupar u omitir</v>
      </c>
      <c r="F173" s="4"/>
    </row>
    <row r="174" customFormat="false" ht="15" hidden="false" customHeight="false" outlineLevel="0" collapsed="false">
      <c r="A174" s="4" t="s">
        <v>177</v>
      </c>
      <c r="B174" s="5" t="n">
        <v>146</v>
      </c>
      <c r="C174" s="6" t="n">
        <v>22.48</v>
      </c>
      <c r="D174" s="5" t="n">
        <f aca="false">ROUND(B174/C174,0)</f>
        <v>6</v>
      </c>
      <c r="E174" s="10" t="str">
        <f aca="false">IF(A174="Madrid","Capital — desglosar (ver hoja 2)",IF(AND(B174&gt;=20000,D174&gt;=1000),"A — seguir individual",IF(B174&gt;=5000,"B — secundario / valorar","C — agrupar u omitir")))</f>
        <v>C — agrupar u omitir</v>
      </c>
      <c r="F174" s="4"/>
    </row>
    <row r="175" customFormat="false" ht="15" hidden="false" customHeight="false" outlineLevel="0" collapsed="false">
      <c r="A175" s="4" t="s">
        <v>178</v>
      </c>
      <c r="B175" s="5" t="n">
        <v>163</v>
      </c>
      <c r="C175" s="6" t="n">
        <v>27.44</v>
      </c>
      <c r="D175" s="5" t="n">
        <f aca="false">ROUND(B175/C175,0)</f>
        <v>6</v>
      </c>
      <c r="E175" s="10" t="str">
        <f aca="false">IF(A175="Madrid","Capital — desglosar (ver hoja 2)",IF(AND(B175&gt;=20000,D175&gt;=1000),"A — seguir individual",IF(B175&gt;=5000,"B — secundario / valorar","C — agrupar u omitir")))</f>
        <v>C — agrupar u omitir</v>
      </c>
      <c r="F175" s="4"/>
    </row>
    <row r="176" customFormat="false" ht="15" hidden="false" customHeight="false" outlineLevel="0" collapsed="false">
      <c r="A176" s="4" t="s">
        <v>179</v>
      </c>
      <c r="B176" s="5" t="n">
        <v>118</v>
      </c>
      <c r="C176" s="6" t="n">
        <v>20.35</v>
      </c>
      <c r="D176" s="5" t="n">
        <f aca="false">ROUND(B176/C176,0)</f>
        <v>6</v>
      </c>
      <c r="E176" s="10" t="str">
        <f aca="false">IF(A176="Madrid","Capital — desglosar (ver hoja 2)",IF(AND(B176&gt;=20000,D176&gt;=1000),"A — seguir individual",IF(B176&gt;=5000,"B — secundario / valorar","C — agrupar u omitir")))</f>
        <v>C — agrupar u omitir</v>
      </c>
      <c r="F176" s="4"/>
    </row>
    <row r="177" customFormat="false" ht="15" hidden="false" customHeight="false" outlineLevel="0" collapsed="false">
      <c r="A177" s="4" t="s">
        <v>180</v>
      </c>
      <c r="B177" s="5" t="n">
        <v>88</v>
      </c>
      <c r="C177" s="6" t="n">
        <v>17.18</v>
      </c>
      <c r="D177" s="5" t="n">
        <f aca="false">ROUND(B177/C177,0)</f>
        <v>5</v>
      </c>
      <c r="E177" s="10" t="str">
        <f aca="false">IF(A177="Madrid","Capital — desglosar (ver hoja 2)",IF(AND(B177&gt;=20000,D177&gt;=1000),"A — seguir individual",IF(B177&gt;=5000,"B — secundario / valorar","C — agrupar u omitir")))</f>
        <v>C — agrupar u omitir</v>
      </c>
      <c r="F177" s="4"/>
    </row>
    <row r="178" customFormat="false" ht="15" hidden="false" customHeight="false" outlineLevel="0" collapsed="false">
      <c r="A178" s="4" t="s">
        <v>181</v>
      </c>
      <c r="B178" s="5" t="n">
        <v>93</v>
      </c>
      <c r="C178" s="6" t="n">
        <v>20.42</v>
      </c>
      <c r="D178" s="5" t="n">
        <f aca="false">ROUND(B178/C178,0)</f>
        <v>5</v>
      </c>
      <c r="E178" s="10" t="str">
        <f aca="false">IF(A178="Madrid","Capital — desglosar (ver hoja 2)",IF(AND(B178&gt;=20000,D178&gt;=1000),"A — seguir individual",IF(B178&gt;=5000,"B — secundario / valorar","C — agrupar u omitir")))</f>
        <v>C — agrupar u omitir</v>
      </c>
      <c r="F178" s="4"/>
    </row>
    <row r="179" customFormat="false" ht="15" hidden="false" customHeight="false" outlineLevel="0" collapsed="false">
      <c r="A179" s="4" t="s">
        <v>182</v>
      </c>
      <c r="B179" s="5" t="n">
        <v>79</v>
      </c>
      <c r="C179" s="6" t="n">
        <v>18.03</v>
      </c>
      <c r="D179" s="5" t="n">
        <f aca="false">ROUND(B179/C179,0)</f>
        <v>4</v>
      </c>
      <c r="E179" s="10" t="str">
        <f aca="false">IF(A179="Madrid","Capital — desglosar (ver hoja 2)",IF(AND(B179&gt;=20000,D179&gt;=1000),"A — seguir individual",IF(B179&gt;=5000,"B — secundario / valorar","C — agrupar u omitir")))</f>
        <v>C — agrupar u omitir</v>
      </c>
      <c r="F179" s="4"/>
    </row>
    <row r="180" customFormat="false" ht="15" hidden="false" customHeight="false" outlineLevel="0" collapsed="false">
      <c r="A180" s="4" t="s">
        <v>183</v>
      </c>
      <c r="B180" s="5" t="n">
        <v>104</v>
      </c>
      <c r="C180" s="6" t="n">
        <v>24.39</v>
      </c>
      <c r="D180" s="5" t="n">
        <f aca="false">ROUND(B180/C180,0)</f>
        <v>4</v>
      </c>
      <c r="E180" s="10" t="str">
        <f aca="false">IF(A180="Madrid","Capital — desglosar (ver hoja 2)",IF(AND(B180&gt;=20000,D180&gt;=1000),"A — seguir individual",IF(B180&gt;=5000,"B — secundario / valorar","C — agrupar u omitir")))</f>
        <v>C — agrupar u omitir</v>
      </c>
      <c r="F180" s="4"/>
    </row>
    <row r="181" customFormat="false" ht="15" hidden="false" customHeight="false" outlineLevel="0" collapsed="false">
      <c r="A181" s="4" t="s">
        <v>184</v>
      </c>
      <c r="B181" s="5" t="n">
        <v>110</v>
      </c>
      <c r="C181" s="6" t="n">
        <v>29.55</v>
      </c>
      <c r="D181" s="5" t="n">
        <f aca="false">ROUND(B181/C181,0)</f>
        <v>4</v>
      </c>
      <c r="E181" s="10" t="str">
        <f aca="false">IF(A181="Madrid","Capital — desglosar (ver hoja 2)",IF(AND(B181&gt;=20000,D181&gt;=1000),"A — seguir individual",IF(B181&gt;=5000,"B — secundario / valorar","C — agrupar u omitir")))</f>
        <v>C — agrupar u omitir</v>
      </c>
      <c r="F181" s="4"/>
    </row>
    <row r="182" customFormat="false" ht="15" hidden="false" customHeight="false" outlineLevel="0" collapsed="false">
      <c r="A182" s="4" t="s">
        <v>185</v>
      </c>
      <c r="B182" s="5" t="n">
        <v>70</v>
      </c>
      <c r="C182" s="6" t="n">
        <v>22.06</v>
      </c>
      <c r="D182" s="5" t="n">
        <f aca="false">ROUND(B182/C182,0)</f>
        <v>3</v>
      </c>
      <c r="E182" s="10" t="str">
        <f aca="false">IF(A182="Madrid","Capital — desglosar (ver hoja 2)",IF(AND(B182&gt;=20000,D182&gt;=1000),"A — seguir individual",IF(B182&gt;=5000,"B — secundario / valorar","C — agrupar u omitir")))</f>
        <v>C — agrupar u omitir</v>
      </c>
      <c r="F182" s="4"/>
    </row>
    <row r="183" customFormat="false" ht="15" hidden="false" customHeight="false" outlineLevel="0" collapsed="false">
      <c r="A183" s="4" t="s">
        <v>186</v>
      </c>
      <c r="B183" s="5" t="n">
        <v>98</v>
      </c>
      <c r="C183" s="6" t="n">
        <v>57.7</v>
      </c>
      <c r="D183" s="5" t="n">
        <f aca="false">ROUND(B183/C183,0)</f>
        <v>2</v>
      </c>
      <c r="E183" s="10" t="str">
        <f aca="false">IF(A183="Madrid","Capital — desglosar (ver hoja 2)",IF(AND(B183&gt;=20000,D183&gt;=1000),"A — seguir individual",IF(B183&gt;=5000,"B — secundario / valorar","C — agrupar u omitir")))</f>
        <v>C — agrupar u omitir</v>
      </c>
      <c r="F183" s="4"/>
    </row>
  </sheetData>
  <autoFilter ref="A4:F1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187</v>
      </c>
    </row>
    <row r="2" customFormat="false" ht="60" hidden="false" customHeight="true" outlineLevel="0" collapsed="false">
      <c r="A2" s="11" t="s">
        <v>188</v>
      </c>
    </row>
    <row r="4" customFormat="false" ht="26.85" hidden="false" customHeight="false" outlineLevel="0" collapsed="false">
      <c r="A4" s="3" t="s">
        <v>189</v>
      </c>
      <c r="B4" s="3" t="s">
        <v>190</v>
      </c>
      <c r="C4" s="3" t="s">
        <v>191</v>
      </c>
      <c r="D4" s="3" t="s">
        <v>4</v>
      </c>
      <c r="E4" s="3" t="s">
        <v>5</v>
      </c>
      <c r="F4" s="3" t="s">
        <v>6</v>
      </c>
    </row>
    <row r="5" customFormat="false" ht="15" hidden="false" customHeight="false" outlineLevel="0" collapsed="false">
      <c r="A5" s="12" t="s">
        <v>192</v>
      </c>
      <c r="B5" s="12"/>
      <c r="C5" s="13" t="n">
        <v>145411</v>
      </c>
      <c r="D5" s="14" t="n">
        <v>5.228</v>
      </c>
      <c r="E5" s="13" t="n">
        <f aca="false">ROUND(C5/D5,0)</f>
        <v>27814</v>
      </c>
      <c r="F5" s="12" t="s">
        <v>193</v>
      </c>
    </row>
    <row r="6" customFormat="false" ht="15" hidden="false" customHeight="false" outlineLevel="0" collapsed="false">
      <c r="A6" s="4" t="s">
        <v>194</v>
      </c>
      <c r="B6" s="4" t="s">
        <v>195</v>
      </c>
      <c r="C6" s="5" t="n">
        <v>24332</v>
      </c>
      <c r="D6" s="15" t="n">
        <v>1.471</v>
      </c>
      <c r="E6" s="5" t="n">
        <f aca="false">ROUND(C6/D6,0)</f>
        <v>16541</v>
      </c>
      <c r="F6" s="4" t="s">
        <v>196</v>
      </c>
    </row>
    <row r="7" customFormat="false" ht="15" hidden="false" customHeight="false" outlineLevel="0" collapsed="false">
      <c r="A7" s="4" t="s">
        <v>197</v>
      </c>
      <c r="B7" s="4" t="s">
        <v>198</v>
      </c>
      <c r="C7" s="5" t="n">
        <v>48590</v>
      </c>
      <c r="D7" s="15" t="n">
        <v>1.032</v>
      </c>
      <c r="E7" s="5" t="n">
        <f aca="false">ROUND(C7/D7,0)</f>
        <v>47083</v>
      </c>
      <c r="F7" s="4" t="s">
        <v>196</v>
      </c>
    </row>
    <row r="8" customFormat="false" ht="15" hidden="false" customHeight="false" outlineLevel="0" collapsed="false">
      <c r="A8" s="4" t="s">
        <v>199</v>
      </c>
      <c r="B8" s="4" t="s">
        <v>200</v>
      </c>
      <c r="C8" s="5" t="n">
        <v>11171</v>
      </c>
      <c r="D8" s="15" t="n">
        <v>0.592</v>
      </c>
      <c r="E8" s="5" t="n">
        <f aca="false">ROUND(C8/D8,0)</f>
        <v>18870</v>
      </c>
      <c r="F8" s="4" t="s">
        <v>196</v>
      </c>
    </row>
    <row r="9" customFormat="false" ht="15" hidden="false" customHeight="false" outlineLevel="0" collapsed="false">
      <c r="A9" s="4" t="s">
        <v>201</v>
      </c>
      <c r="B9" s="4" t="s">
        <v>202</v>
      </c>
      <c r="C9" s="5" t="n">
        <v>18739</v>
      </c>
      <c r="D9" s="15" t="n">
        <v>0.742</v>
      </c>
      <c r="E9" s="5" t="n">
        <f aca="false">ROUND(C9/D9,0)</f>
        <v>25255</v>
      </c>
      <c r="F9" s="4" t="s">
        <v>196</v>
      </c>
    </row>
    <row r="10" customFormat="false" ht="15" hidden="false" customHeight="false" outlineLevel="0" collapsed="false">
      <c r="A10" s="4" t="s">
        <v>203</v>
      </c>
      <c r="B10" s="4" t="s">
        <v>204</v>
      </c>
      <c r="C10" s="5" t="n">
        <v>34073</v>
      </c>
      <c r="D10" s="15" t="n">
        <v>0.947</v>
      </c>
      <c r="E10" s="5" t="n">
        <f aca="false">ROUND(C10/D10,0)</f>
        <v>35980</v>
      </c>
      <c r="F10" s="4" t="s">
        <v>196</v>
      </c>
    </row>
    <row r="11" customFormat="false" ht="15" hidden="false" customHeight="false" outlineLevel="0" collapsed="false">
      <c r="A11" s="4" t="s">
        <v>205</v>
      </c>
      <c r="B11" s="4" t="s">
        <v>206</v>
      </c>
      <c r="C11" s="5" t="n">
        <v>8506</v>
      </c>
      <c r="D11" s="15" t="n">
        <v>0.445</v>
      </c>
      <c r="E11" s="5" t="n">
        <f aca="false">ROUND(C11/D11,0)</f>
        <v>19115</v>
      </c>
      <c r="F11" s="4" t="s">
        <v>196</v>
      </c>
    </row>
    <row r="12" customFormat="false" ht="15" hidden="false" customHeight="false" outlineLevel="0" collapsed="false">
      <c r="A12" s="12" t="s">
        <v>207</v>
      </c>
      <c r="B12" s="12"/>
      <c r="C12" s="13" t="n">
        <v>156559</v>
      </c>
      <c r="D12" s="14" t="n">
        <v>6.462</v>
      </c>
      <c r="E12" s="13" t="n">
        <f aca="false">ROUND(C12/D12,0)</f>
        <v>24228</v>
      </c>
      <c r="F12" s="12" t="s">
        <v>193</v>
      </c>
    </row>
    <row r="13" customFormat="false" ht="15" hidden="false" customHeight="false" outlineLevel="0" collapsed="false">
      <c r="A13" s="4" t="s">
        <v>208</v>
      </c>
      <c r="B13" s="4" t="s">
        <v>209</v>
      </c>
      <c r="C13" s="5" t="n">
        <v>22668</v>
      </c>
      <c r="D13" s="15" t="n">
        <v>0.967</v>
      </c>
      <c r="E13" s="5" t="n">
        <f aca="false">ROUND(C13/D13,0)</f>
        <v>23442</v>
      </c>
      <c r="F13" s="4" t="s">
        <v>196</v>
      </c>
    </row>
    <row r="14" customFormat="false" ht="15" hidden="false" customHeight="false" outlineLevel="0" collapsed="false">
      <c r="A14" s="4" t="s">
        <v>210</v>
      </c>
      <c r="B14" s="4" t="s">
        <v>211</v>
      </c>
      <c r="C14" s="5" t="n">
        <v>36475</v>
      </c>
      <c r="D14" s="15" t="n">
        <v>1.074</v>
      </c>
      <c r="E14" s="5" t="n">
        <f aca="false">ROUND(C14/D14,0)</f>
        <v>33962</v>
      </c>
      <c r="F14" s="4" t="s">
        <v>196</v>
      </c>
    </row>
    <row r="15" customFormat="false" ht="15" hidden="false" customHeight="false" outlineLevel="0" collapsed="false">
      <c r="A15" s="4" t="s">
        <v>212</v>
      </c>
      <c r="B15" s="4" t="s">
        <v>213</v>
      </c>
      <c r="C15" s="5" t="n">
        <v>20256</v>
      </c>
      <c r="D15" s="15" t="n">
        <v>0.566</v>
      </c>
      <c r="E15" s="5" t="n">
        <f aca="false">ROUND(C15/D15,0)</f>
        <v>35788</v>
      </c>
      <c r="F15" s="4" t="s">
        <v>196</v>
      </c>
    </row>
    <row r="16" customFormat="false" ht="15" hidden="false" customHeight="false" outlineLevel="0" collapsed="false">
      <c r="A16" s="4" t="s">
        <v>214</v>
      </c>
      <c r="B16" s="4" t="s">
        <v>215</v>
      </c>
      <c r="C16" s="5" t="n">
        <v>19858</v>
      </c>
      <c r="D16" s="15" t="n">
        <v>1.396</v>
      </c>
      <c r="E16" s="5" t="n">
        <f aca="false">ROUND(C16/D16,0)</f>
        <v>14225</v>
      </c>
      <c r="F16" s="4" t="s">
        <v>216</v>
      </c>
    </row>
    <row r="17" customFormat="false" ht="15" hidden="false" customHeight="false" outlineLevel="0" collapsed="false">
      <c r="A17" s="4" t="s">
        <v>217</v>
      </c>
      <c r="B17" s="4" t="s">
        <v>218</v>
      </c>
      <c r="C17" s="5" t="n">
        <v>29465</v>
      </c>
      <c r="D17" s="15" t="n">
        <v>1.057</v>
      </c>
      <c r="E17" s="5" t="n">
        <f aca="false">ROUND(C17/D17,0)</f>
        <v>27876</v>
      </c>
      <c r="F17" s="4" t="s">
        <v>196</v>
      </c>
    </row>
    <row r="18" customFormat="false" ht="15" hidden="false" customHeight="false" outlineLevel="0" collapsed="false">
      <c r="A18" s="4" t="s">
        <v>219</v>
      </c>
      <c r="B18" s="4" t="s">
        <v>220</v>
      </c>
      <c r="C18" s="5" t="n">
        <v>25790</v>
      </c>
      <c r="D18" s="15" t="n">
        <v>0.643</v>
      </c>
      <c r="E18" s="5" t="n">
        <f aca="false">ROUND(C18/D18,0)</f>
        <v>40109</v>
      </c>
      <c r="F18" s="4" t="s">
        <v>196</v>
      </c>
    </row>
    <row r="19" customFormat="false" ht="15" hidden="false" customHeight="false" outlineLevel="0" collapsed="false">
      <c r="A19" s="16" t="s">
        <v>221</v>
      </c>
      <c r="B19" s="16" t="s">
        <v>222</v>
      </c>
      <c r="C19" s="17" t="n">
        <v>2047</v>
      </c>
      <c r="D19" s="18" t="n">
        <v>0.775</v>
      </c>
      <c r="E19" s="17" t="n">
        <f aca="false">ROUND(C19/D19,0)</f>
        <v>2641</v>
      </c>
      <c r="F19" s="16" t="s">
        <v>223</v>
      </c>
    </row>
    <row r="20" customFormat="false" ht="15" hidden="false" customHeight="false" outlineLevel="0" collapsed="false">
      <c r="A20" s="12" t="s">
        <v>224</v>
      </c>
      <c r="B20" s="12"/>
      <c r="C20" s="13" t="n">
        <v>119757</v>
      </c>
      <c r="D20" s="14" t="n">
        <v>5.466</v>
      </c>
      <c r="E20" s="13" t="n">
        <f aca="false">ROUND(C20/D20,0)</f>
        <v>21909</v>
      </c>
      <c r="F20" s="12" t="s">
        <v>193</v>
      </c>
    </row>
    <row r="21" customFormat="false" ht="15" hidden="false" customHeight="false" outlineLevel="0" collapsed="false">
      <c r="A21" s="4" t="s">
        <v>225</v>
      </c>
      <c r="B21" s="4" t="s">
        <v>226</v>
      </c>
      <c r="C21" s="5" t="n">
        <v>33743</v>
      </c>
      <c r="D21" s="15" t="n">
        <v>0.75</v>
      </c>
      <c r="E21" s="5" t="n">
        <f aca="false">ROUND(C21/D21,0)</f>
        <v>44991</v>
      </c>
      <c r="F21" s="4" t="s">
        <v>196</v>
      </c>
    </row>
    <row r="22" customFormat="false" ht="15" hidden="false" customHeight="false" outlineLevel="0" collapsed="false">
      <c r="A22" s="4" t="s">
        <v>227</v>
      </c>
      <c r="B22" s="4" t="s">
        <v>228</v>
      </c>
      <c r="C22" s="5" t="n">
        <v>19025</v>
      </c>
      <c r="D22" s="15" t="n">
        <v>0.64</v>
      </c>
      <c r="E22" s="5" t="n">
        <f aca="false">ROUND(C22/D22,0)</f>
        <v>29727</v>
      </c>
      <c r="F22" s="4" t="s">
        <v>196</v>
      </c>
    </row>
    <row r="23" customFormat="false" ht="15" hidden="false" customHeight="false" outlineLevel="0" collapsed="false">
      <c r="A23" s="4" t="s">
        <v>229</v>
      </c>
      <c r="B23" s="4" t="s">
        <v>230</v>
      </c>
      <c r="C23" s="5" t="n">
        <v>22774</v>
      </c>
      <c r="D23" s="15" t="n">
        <v>1.025</v>
      </c>
      <c r="E23" s="5" t="n">
        <f aca="false">ROUND(C23/D23,0)</f>
        <v>22219</v>
      </c>
      <c r="F23" s="4" t="s">
        <v>196</v>
      </c>
    </row>
    <row r="24" customFormat="false" ht="15" hidden="false" customHeight="false" outlineLevel="0" collapsed="false">
      <c r="A24" s="4" t="s">
        <v>231</v>
      </c>
      <c r="B24" s="4" t="s">
        <v>232</v>
      </c>
      <c r="C24" s="5" t="n">
        <v>22010</v>
      </c>
      <c r="D24" s="15" t="n">
        <v>0.49</v>
      </c>
      <c r="E24" s="5" t="n">
        <f aca="false">ROUND(C24/D24,0)</f>
        <v>44918</v>
      </c>
      <c r="F24" s="4" t="s">
        <v>196</v>
      </c>
    </row>
    <row r="25" customFormat="false" ht="15" hidden="false" customHeight="false" outlineLevel="0" collapsed="false">
      <c r="A25" s="16" t="s">
        <v>233</v>
      </c>
      <c r="B25" s="16" t="s">
        <v>234</v>
      </c>
      <c r="C25" s="17" t="n">
        <v>6934</v>
      </c>
      <c r="D25" s="18" t="n">
        <v>1.9</v>
      </c>
      <c r="E25" s="17" t="n">
        <f aca="false">ROUND(C25/D25,0)</f>
        <v>3649</v>
      </c>
      <c r="F25" s="16" t="s">
        <v>223</v>
      </c>
    </row>
    <row r="26" customFormat="false" ht="15" hidden="false" customHeight="false" outlineLevel="0" collapsed="false">
      <c r="A26" s="4" t="s">
        <v>235</v>
      </c>
      <c r="B26" s="4" t="s">
        <v>236</v>
      </c>
      <c r="C26" s="5" t="n">
        <v>15271</v>
      </c>
      <c r="D26" s="15" t="n">
        <v>0.643</v>
      </c>
      <c r="E26" s="5" t="n">
        <f aca="false">ROUND(C26/D26,0)</f>
        <v>23750</v>
      </c>
      <c r="F26" s="4" t="s">
        <v>196</v>
      </c>
    </row>
    <row r="27" customFormat="false" ht="15" hidden="false" customHeight="false" outlineLevel="0" collapsed="false">
      <c r="A27" s="12" t="s">
        <v>237</v>
      </c>
      <c r="B27" s="12"/>
      <c r="C27" s="13" t="n">
        <v>149778</v>
      </c>
      <c r="D27" s="14" t="n">
        <v>5.392</v>
      </c>
      <c r="E27" s="13" t="n">
        <f aca="false">ROUND(C27/D27,0)</f>
        <v>27778</v>
      </c>
      <c r="F27" s="12" t="s">
        <v>193</v>
      </c>
    </row>
    <row r="28" customFormat="false" ht="15" hidden="false" customHeight="false" outlineLevel="0" collapsed="false">
      <c r="A28" s="4" t="s">
        <v>238</v>
      </c>
      <c r="B28" s="4" t="s">
        <v>239</v>
      </c>
      <c r="C28" s="5" t="n">
        <v>15845</v>
      </c>
      <c r="D28" s="15" t="n">
        <v>0.87</v>
      </c>
      <c r="E28" s="5" t="n">
        <f aca="false">ROUND(C28/D28,0)</f>
        <v>18213</v>
      </c>
      <c r="F28" s="4" t="s">
        <v>196</v>
      </c>
    </row>
    <row r="29" customFormat="false" ht="15" hidden="false" customHeight="false" outlineLevel="0" collapsed="false">
      <c r="A29" s="4" t="s">
        <v>240</v>
      </c>
      <c r="B29" s="4" t="s">
        <v>241</v>
      </c>
      <c r="C29" s="5" t="n">
        <v>30381</v>
      </c>
      <c r="D29" s="15" t="n">
        <v>0.771</v>
      </c>
      <c r="E29" s="5" t="n">
        <f aca="false">ROUND(C29/D29,0)</f>
        <v>39405</v>
      </c>
      <c r="F29" s="4" t="s">
        <v>196</v>
      </c>
    </row>
    <row r="30" customFormat="false" ht="15" hidden="false" customHeight="false" outlineLevel="0" collapsed="false">
      <c r="A30" s="4" t="s">
        <v>242</v>
      </c>
      <c r="B30" s="4" t="s">
        <v>243</v>
      </c>
      <c r="C30" s="5" t="n">
        <v>21449</v>
      </c>
      <c r="D30" s="15" t="n">
        <v>0.852</v>
      </c>
      <c r="E30" s="5" t="n">
        <f aca="false">ROUND(C30/D30,0)</f>
        <v>25175</v>
      </c>
      <c r="F30" s="4" t="s">
        <v>196</v>
      </c>
    </row>
    <row r="31" customFormat="false" ht="15" hidden="false" customHeight="false" outlineLevel="0" collapsed="false">
      <c r="A31" s="4" t="s">
        <v>244</v>
      </c>
      <c r="B31" s="4" t="s">
        <v>245</v>
      </c>
      <c r="C31" s="5" t="n">
        <v>42905</v>
      </c>
      <c r="D31" s="15" t="n">
        <v>1.598</v>
      </c>
      <c r="E31" s="5" t="n">
        <f aca="false">ROUND(C31/D31,0)</f>
        <v>26849</v>
      </c>
      <c r="F31" s="4" t="s">
        <v>196</v>
      </c>
    </row>
    <row r="32" customFormat="false" ht="15" hidden="false" customHeight="false" outlineLevel="0" collapsed="false">
      <c r="A32" s="4" t="s">
        <v>246</v>
      </c>
      <c r="B32" s="4" t="s">
        <v>247</v>
      </c>
      <c r="C32" s="5" t="n">
        <v>21506</v>
      </c>
      <c r="D32" s="15" t="n">
        <v>0.52</v>
      </c>
      <c r="E32" s="5" t="n">
        <f aca="false">ROUND(C32/D32,0)</f>
        <v>41358</v>
      </c>
      <c r="F32" s="4" t="s">
        <v>196</v>
      </c>
    </row>
    <row r="33" customFormat="false" ht="15" hidden="false" customHeight="false" outlineLevel="0" collapsed="false">
      <c r="A33" s="4" t="s">
        <v>248</v>
      </c>
      <c r="B33" s="4" t="s">
        <v>249</v>
      </c>
      <c r="C33" s="5" t="n">
        <v>17692</v>
      </c>
      <c r="D33" s="15" t="n">
        <v>0.773</v>
      </c>
      <c r="E33" s="5" t="n">
        <f aca="false">ROUND(C33/D33,0)</f>
        <v>22887</v>
      </c>
      <c r="F33" s="4" t="s">
        <v>196</v>
      </c>
    </row>
    <row r="34" customFormat="false" ht="15" hidden="false" customHeight="false" outlineLevel="0" collapsed="false">
      <c r="A34" s="12" t="s">
        <v>250</v>
      </c>
      <c r="B34" s="12"/>
      <c r="C34" s="13" t="n">
        <v>148111</v>
      </c>
      <c r="D34" s="14" t="n">
        <v>9.175</v>
      </c>
      <c r="E34" s="13" t="n">
        <f aca="false">ROUND(C34/D34,0)</f>
        <v>16143</v>
      </c>
      <c r="F34" s="12" t="s">
        <v>193</v>
      </c>
    </row>
    <row r="35" customFormat="false" ht="15" hidden="false" customHeight="false" outlineLevel="0" collapsed="false">
      <c r="A35" s="4" t="s">
        <v>251</v>
      </c>
      <c r="B35" s="4" t="s">
        <v>252</v>
      </c>
      <c r="C35" s="5" t="n">
        <v>17545</v>
      </c>
      <c r="D35" s="15" t="n">
        <v>1.708</v>
      </c>
      <c r="E35" s="5" t="n">
        <f aca="false">ROUND(C35/D35,0)</f>
        <v>10272</v>
      </c>
      <c r="F35" s="4" t="s">
        <v>216</v>
      </c>
    </row>
    <row r="36" customFormat="false" ht="15" hidden="false" customHeight="false" outlineLevel="0" collapsed="false">
      <c r="A36" s="4" t="s">
        <v>253</v>
      </c>
      <c r="B36" s="4" t="s">
        <v>254</v>
      </c>
      <c r="C36" s="5" t="n">
        <v>36961</v>
      </c>
      <c r="D36" s="15" t="n">
        <v>1.043</v>
      </c>
      <c r="E36" s="5" t="n">
        <f aca="false">ROUND(C36/D36,0)</f>
        <v>35437</v>
      </c>
      <c r="F36" s="4" t="s">
        <v>196</v>
      </c>
    </row>
    <row r="37" customFormat="false" ht="15" hidden="false" customHeight="false" outlineLevel="0" collapsed="false">
      <c r="A37" s="4" t="s">
        <v>255</v>
      </c>
      <c r="B37" s="4" t="s">
        <v>256</v>
      </c>
      <c r="C37" s="5" t="n">
        <v>18928</v>
      </c>
      <c r="D37" s="15" t="n">
        <v>0.762</v>
      </c>
      <c r="E37" s="5" t="n">
        <f aca="false">ROUND(C37/D37,0)</f>
        <v>24840</v>
      </c>
      <c r="F37" s="4" t="s">
        <v>196</v>
      </c>
    </row>
    <row r="38" customFormat="false" ht="15" hidden="false" customHeight="false" outlineLevel="0" collapsed="false">
      <c r="A38" s="4" t="s">
        <v>257</v>
      </c>
      <c r="B38" s="4" t="s">
        <v>258</v>
      </c>
      <c r="C38" s="5" t="n">
        <v>32014</v>
      </c>
      <c r="D38" s="15" t="n">
        <v>1.707</v>
      </c>
      <c r="E38" s="5" t="n">
        <f aca="false">ROUND(C38/D38,0)</f>
        <v>18755</v>
      </c>
      <c r="F38" s="4" t="s">
        <v>196</v>
      </c>
    </row>
    <row r="39" customFormat="false" ht="15" hidden="false" customHeight="false" outlineLevel="0" collapsed="false">
      <c r="A39" s="4" t="s">
        <v>259</v>
      </c>
      <c r="B39" s="4" t="s">
        <v>260</v>
      </c>
      <c r="C39" s="5" t="n">
        <v>25043</v>
      </c>
      <c r="D39" s="15" t="n">
        <v>1.788</v>
      </c>
      <c r="E39" s="5" t="n">
        <f aca="false">ROUND(C39/D39,0)</f>
        <v>14006</v>
      </c>
      <c r="F39" s="4" t="s">
        <v>216</v>
      </c>
    </row>
    <row r="40" customFormat="false" ht="15" hidden="false" customHeight="false" outlineLevel="0" collapsed="false">
      <c r="A40" s="4" t="s">
        <v>261</v>
      </c>
      <c r="B40" s="4" t="s">
        <v>262</v>
      </c>
      <c r="C40" s="5" t="n">
        <v>17620</v>
      </c>
      <c r="D40" s="15" t="n">
        <v>2.16</v>
      </c>
      <c r="E40" s="5" t="n">
        <f aca="false">ROUND(C40/D40,0)</f>
        <v>8157</v>
      </c>
      <c r="F40" s="4" t="s">
        <v>216</v>
      </c>
    </row>
    <row r="41" customFormat="false" ht="15" hidden="false" customHeight="false" outlineLevel="0" collapsed="false">
      <c r="A41" s="12" t="s">
        <v>263</v>
      </c>
      <c r="B41" s="12"/>
      <c r="C41" s="13" t="n">
        <v>166211</v>
      </c>
      <c r="D41" s="14" t="n">
        <v>5.375</v>
      </c>
      <c r="E41" s="13" t="n">
        <f aca="false">ROUND(C41/D41,0)</f>
        <v>30923</v>
      </c>
      <c r="F41" s="12" t="s">
        <v>193</v>
      </c>
    </row>
    <row r="42" customFormat="false" ht="15" hidden="false" customHeight="false" outlineLevel="0" collapsed="false">
      <c r="A42" s="4" t="s">
        <v>264</v>
      </c>
      <c r="B42" s="4" t="s">
        <v>265</v>
      </c>
      <c r="C42" s="5" t="n">
        <v>30531</v>
      </c>
      <c r="D42" s="15" t="n">
        <v>0.716</v>
      </c>
      <c r="E42" s="5" t="n">
        <f aca="false">ROUND(C42/D42,0)</f>
        <v>42641</v>
      </c>
      <c r="F42" s="4" t="s">
        <v>196</v>
      </c>
    </row>
    <row r="43" customFormat="false" ht="15" hidden="false" customHeight="false" outlineLevel="0" collapsed="false">
      <c r="A43" s="4" t="s">
        <v>266</v>
      </c>
      <c r="B43" s="4" t="s">
        <v>267</v>
      </c>
      <c r="C43" s="5" t="n">
        <v>35723</v>
      </c>
      <c r="D43" s="15" t="n">
        <v>1.193</v>
      </c>
      <c r="E43" s="5" t="n">
        <f aca="false">ROUND(C43/D43,0)</f>
        <v>29944</v>
      </c>
      <c r="F43" s="4" t="s">
        <v>196</v>
      </c>
    </row>
    <row r="44" customFormat="false" ht="15" hidden="false" customHeight="false" outlineLevel="0" collapsed="false">
      <c r="A44" s="4" t="s">
        <v>268</v>
      </c>
      <c r="B44" s="4" t="s">
        <v>269</v>
      </c>
      <c r="C44" s="5" t="n">
        <v>21256</v>
      </c>
      <c r="D44" s="15" t="n">
        <v>0.708</v>
      </c>
      <c r="E44" s="5" t="n">
        <f aca="false">ROUND(C44/D44,0)</f>
        <v>30023</v>
      </c>
      <c r="F44" s="4" t="s">
        <v>196</v>
      </c>
    </row>
    <row r="45" customFormat="false" ht="15" hidden="false" customHeight="false" outlineLevel="0" collapsed="false">
      <c r="A45" s="4" t="s">
        <v>270</v>
      </c>
      <c r="B45" s="4" t="s">
        <v>271</v>
      </c>
      <c r="C45" s="5" t="n">
        <v>24090</v>
      </c>
      <c r="D45" s="15" t="n">
        <v>0.999</v>
      </c>
      <c r="E45" s="5" t="n">
        <f aca="false">ROUND(C45/D45,0)</f>
        <v>24114</v>
      </c>
      <c r="F45" s="4" t="s">
        <v>196</v>
      </c>
    </row>
    <row r="46" customFormat="false" ht="15" hidden="false" customHeight="false" outlineLevel="0" collapsed="false">
      <c r="A46" s="4" t="s">
        <v>272</v>
      </c>
      <c r="B46" s="4" t="s">
        <v>273</v>
      </c>
      <c r="C46" s="5" t="n">
        <v>27798</v>
      </c>
      <c r="D46" s="15" t="n">
        <v>1.163</v>
      </c>
      <c r="E46" s="5" t="n">
        <f aca="false">ROUND(C46/D46,0)</f>
        <v>23902</v>
      </c>
      <c r="F46" s="4" t="s">
        <v>196</v>
      </c>
    </row>
    <row r="47" customFormat="false" ht="15" hidden="false" customHeight="false" outlineLevel="0" collapsed="false">
      <c r="A47" s="4" t="s">
        <v>274</v>
      </c>
      <c r="B47" s="4" t="s">
        <v>275</v>
      </c>
      <c r="C47" s="5" t="n">
        <v>26813</v>
      </c>
      <c r="D47" s="15" t="n">
        <v>0.607</v>
      </c>
      <c r="E47" s="5" t="n">
        <f aca="false">ROUND(C47/D47,0)</f>
        <v>44173</v>
      </c>
      <c r="F47" s="4" t="s">
        <v>196</v>
      </c>
    </row>
    <row r="48" customFormat="false" ht="15" hidden="false" customHeight="false" outlineLevel="0" collapsed="false">
      <c r="A48" s="12" t="s">
        <v>276</v>
      </c>
      <c r="B48" s="12"/>
      <c r="C48" s="13" t="n">
        <v>141984</v>
      </c>
      <c r="D48" s="14" t="n">
        <v>4.679</v>
      </c>
      <c r="E48" s="13" t="n">
        <f aca="false">ROUND(C48/D48,0)</f>
        <v>30345</v>
      </c>
      <c r="F48" s="12" t="s">
        <v>193</v>
      </c>
    </row>
    <row r="49" customFormat="false" ht="15" hidden="false" customHeight="false" outlineLevel="0" collapsed="false">
      <c r="A49" s="4" t="s">
        <v>277</v>
      </c>
      <c r="B49" s="4" t="s">
        <v>278</v>
      </c>
      <c r="C49" s="5" t="n">
        <v>23533</v>
      </c>
      <c r="D49" s="15" t="n">
        <v>0.506</v>
      </c>
      <c r="E49" s="5" t="n">
        <f aca="false">ROUND(C49/D49,0)</f>
        <v>46508</v>
      </c>
      <c r="F49" s="4" t="s">
        <v>196</v>
      </c>
    </row>
    <row r="50" customFormat="false" ht="15" hidden="false" customHeight="false" outlineLevel="0" collapsed="false">
      <c r="A50" s="4" t="s">
        <v>279</v>
      </c>
      <c r="B50" s="4" t="s">
        <v>280</v>
      </c>
      <c r="C50" s="5" t="n">
        <v>24931</v>
      </c>
      <c r="D50" s="15" t="n">
        <v>0.578</v>
      </c>
      <c r="E50" s="5" t="n">
        <f aca="false">ROUND(C50/D50,0)</f>
        <v>43133</v>
      </c>
      <c r="F50" s="4" t="s">
        <v>196</v>
      </c>
    </row>
    <row r="51" customFormat="false" ht="15" hidden="false" customHeight="false" outlineLevel="0" collapsed="false">
      <c r="A51" s="4" t="s">
        <v>281</v>
      </c>
      <c r="B51" s="4" t="s">
        <v>282</v>
      </c>
      <c r="C51" s="5" t="n">
        <v>25328</v>
      </c>
      <c r="D51" s="15" t="n">
        <v>0.611</v>
      </c>
      <c r="E51" s="5" t="n">
        <f aca="false">ROUND(C51/D51,0)</f>
        <v>41453</v>
      </c>
      <c r="F51" s="4" t="s">
        <v>196</v>
      </c>
    </row>
    <row r="52" customFormat="false" ht="15" hidden="false" customHeight="false" outlineLevel="0" collapsed="false">
      <c r="A52" s="4" t="s">
        <v>283</v>
      </c>
      <c r="B52" s="4" t="s">
        <v>284</v>
      </c>
      <c r="C52" s="5" t="n">
        <v>19992</v>
      </c>
      <c r="D52" s="15" t="n">
        <v>0.937</v>
      </c>
      <c r="E52" s="5" t="n">
        <f aca="false">ROUND(C52/D52,0)</f>
        <v>21336</v>
      </c>
      <c r="F52" s="4" t="s">
        <v>196</v>
      </c>
    </row>
    <row r="53" customFormat="false" ht="15" hidden="false" customHeight="false" outlineLevel="0" collapsed="false">
      <c r="A53" s="4" t="s">
        <v>285</v>
      </c>
      <c r="B53" s="4" t="s">
        <v>286</v>
      </c>
      <c r="C53" s="5" t="n">
        <v>27962</v>
      </c>
      <c r="D53" s="15" t="n">
        <v>0.971</v>
      </c>
      <c r="E53" s="5" t="n">
        <f aca="false">ROUND(C53/D53,0)</f>
        <v>28797</v>
      </c>
      <c r="F53" s="4" t="s">
        <v>196</v>
      </c>
    </row>
    <row r="54" customFormat="false" ht="15" hidden="false" customHeight="false" outlineLevel="0" collapsed="false">
      <c r="A54" s="4" t="s">
        <v>287</v>
      </c>
      <c r="B54" s="4" t="s">
        <v>288</v>
      </c>
      <c r="C54" s="5" t="n">
        <v>20238</v>
      </c>
      <c r="D54" s="15" t="n">
        <v>1.068</v>
      </c>
      <c r="E54" s="5" t="n">
        <f aca="false">ROUND(C54/D54,0)</f>
        <v>18949</v>
      </c>
      <c r="F54" s="4" t="s">
        <v>196</v>
      </c>
    </row>
    <row r="55" customFormat="false" ht="15" hidden="false" customHeight="false" outlineLevel="0" collapsed="false">
      <c r="A55" s="12" t="s">
        <v>289</v>
      </c>
      <c r="B55" s="12"/>
      <c r="C55" s="13" t="n">
        <v>253898</v>
      </c>
      <c r="D55" s="14" t="n">
        <v>237.838</v>
      </c>
      <c r="E55" s="13" t="n">
        <f aca="false">ROUND(C55/D55,0)</f>
        <v>1068</v>
      </c>
      <c r="F55" s="12" t="s">
        <v>193</v>
      </c>
    </row>
    <row r="56" customFormat="false" ht="15" hidden="false" customHeight="false" outlineLevel="0" collapsed="false">
      <c r="A56" s="16" t="s">
        <v>290</v>
      </c>
      <c r="B56" s="16" t="s">
        <v>291</v>
      </c>
      <c r="C56" s="17" t="n">
        <v>3460</v>
      </c>
      <c r="D56" s="18" t="n">
        <v>187.642</v>
      </c>
      <c r="E56" s="17" t="n">
        <f aca="false">ROUND(C56/D56,0)</f>
        <v>18</v>
      </c>
      <c r="F56" s="16" t="s">
        <v>223</v>
      </c>
    </row>
    <row r="57" customFormat="false" ht="15" hidden="false" customHeight="false" outlineLevel="0" collapsed="false">
      <c r="A57" s="16" t="s">
        <v>292</v>
      </c>
      <c r="B57" s="16" t="s">
        <v>293</v>
      </c>
      <c r="C57" s="17" t="n">
        <v>3498</v>
      </c>
      <c r="D57" s="18" t="n">
        <v>1.382</v>
      </c>
      <c r="E57" s="17" t="n">
        <f aca="false">ROUND(C57/D57,0)</f>
        <v>2531</v>
      </c>
      <c r="F57" s="16" t="s">
        <v>223</v>
      </c>
    </row>
    <row r="58" customFormat="false" ht="15" hidden="false" customHeight="false" outlineLevel="0" collapsed="false">
      <c r="A58" s="4" t="s">
        <v>294</v>
      </c>
      <c r="B58" s="4" t="s">
        <v>295</v>
      </c>
      <c r="C58" s="5" t="n">
        <v>44844</v>
      </c>
      <c r="D58" s="15" t="n">
        <v>2.89</v>
      </c>
      <c r="E58" s="5" t="n">
        <f aca="false">ROUND(C58/D58,0)</f>
        <v>15517</v>
      </c>
      <c r="F58" s="4" t="s">
        <v>196</v>
      </c>
    </row>
    <row r="59" customFormat="false" ht="15" hidden="false" customHeight="false" outlineLevel="0" collapsed="false">
      <c r="A59" s="4" t="s">
        <v>296</v>
      </c>
      <c r="B59" s="4" t="s">
        <v>297</v>
      </c>
      <c r="C59" s="5" t="n">
        <v>46543</v>
      </c>
      <c r="D59" s="15" t="n">
        <v>1.359</v>
      </c>
      <c r="E59" s="5" t="n">
        <f aca="false">ROUND(C59/D59,0)</f>
        <v>34248</v>
      </c>
      <c r="F59" s="4" t="s">
        <v>196</v>
      </c>
    </row>
    <row r="60" customFormat="false" ht="15" hidden="false" customHeight="false" outlineLevel="0" collapsed="false">
      <c r="A60" s="4" t="s">
        <v>298</v>
      </c>
      <c r="B60" s="4" t="s">
        <v>299</v>
      </c>
      <c r="C60" s="5" t="n">
        <v>32343</v>
      </c>
      <c r="D60" s="15" t="n">
        <v>2.159</v>
      </c>
      <c r="E60" s="5" t="n">
        <f aca="false">ROUND(C60/D60,0)</f>
        <v>14981</v>
      </c>
      <c r="F60" s="4" t="s">
        <v>216</v>
      </c>
    </row>
    <row r="61" customFormat="false" ht="15" hidden="false" customHeight="false" outlineLevel="0" collapsed="false">
      <c r="A61" s="4" t="s">
        <v>300</v>
      </c>
      <c r="B61" s="4" t="s">
        <v>301</v>
      </c>
      <c r="C61" s="5" t="n">
        <v>66870</v>
      </c>
      <c r="D61" s="15" t="n">
        <v>8.977</v>
      </c>
      <c r="E61" s="5" t="n">
        <f aca="false">ROUND(C61/D61,0)</f>
        <v>7449</v>
      </c>
      <c r="F61" s="4" t="s">
        <v>216</v>
      </c>
    </row>
    <row r="62" customFormat="false" ht="15" hidden="false" customHeight="false" outlineLevel="0" collapsed="false">
      <c r="A62" s="4" t="s">
        <v>302</v>
      </c>
      <c r="B62" s="4" t="s">
        <v>303</v>
      </c>
      <c r="C62" s="5" t="n">
        <v>36744</v>
      </c>
      <c r="D62" s="15" t="n">
        <v>6.975</v>
      </c>
      <c r="E62" s="5" t="n">
        <f aca="false">ROUND(C62/D62,0)</f>
        <v>5268</v>
      </c>
      <c r="F62" s="4" t="s">
        <v>216</v>
      </c>
    </row>
    <row r="63" customFormat="false" ht="15" hidden="false" customHeight="false" outlineLevel="0" collapsed="false">
      <c r="A63" s="16" t="s">
        <v>304</v>
      </c>
      <c r="B63" s="16" t="s">
        <v>305</v>
      </c>
      <c r="C63" s="17" t="n">
        <v>19596</v>
      </c>
      <c r="D63" s="18" t="n">
        <v>26.509</v>
      </c>
      <c r="E63" s="17" t="n">
        <f aca="false">ROUND(C63/D63,0)</f>
        <v>739</v>
      </c>
      <c r="F63" s="16" t="s">
        <v>223</v>
      </c>
    </row>
    <row r="64" customFormat="false" ht="15" hidden="false" customHeight="false" outlineLevel="0" collapsed="false">
      <c r="A64" s="12" t="s">
        <v>306</v>
      </c>
      <c r="B64" s="12"/>
      <c r="C64" s="13" t="n">
        <v>125223</v>
      </c>
      <c r="D64" s="14" t="n">
        <v>46.531</v>
      </c>
      <c r="E64" s="13" t="n">
        <f aca="false">ROUND(C64/D64,0)</f>
        <v>2691</v>
      </c>
      <c r="F64" s="12" t="s">
        <v>193</v>
      </c>
    </row>
    <row r="65" customFormat="false" ht="15" hidden="false" customHeight="false" outlineLevel="0" collapsed="false">
      <c r="A65" s="16" t="s">
        <v>307</v>
      </c>
      <c r="B65" s="16" t="s">
        <v>308</v>
      </c>
      <c r="C65" s="17" t="n">
        <v>12946</v>
      </c>
      <c r="D65" s="18" t="n">
        <v>17.47</v>
      </c>
      <c r="E65" s="17" t="n">
        <f aca="false">ROUND(C65/D65,0)</f>
        <v>741</v>
      </c>
      <c r="F65" s="16" t="s">
        <v>223</v>
      </c>
    </row>
    <row r="66" customFormat="false" ht="15" hidden="false" customHeight="false" outlineLevel="0" collapsed="false">
      <c r="A66" s="4" t="s">
        <v>309</v>
      </c>
      <c r="B66" s="4" t="s">
        <v>310</v>
      </c>
      <c r="C66" s="5" t="n">
        <v>24987</v>
      </c>
      <c r="D66" s="15" t="n">
        <v>0.755</v>
      </c>
      <c r="E66" s="5" t="n">
        <f aca="false">ROUND(C66/D66,0)</f>
        <v>33095</v>
      </c>
      <c r="F66" s="4" t="s">
        <v>196</v>
      </c>
    </row>
    <row r="67" customFormat="false" ht="15" hidden="false" customHeight="false" outlineLevel="0" collapsed="false">
      <c r="A67" s="16" t="s">
        <v>311</v>
      </c>
      <c r="B67" s="16" t="s">
        <v>312</v>
      </c>
      <c r="C67" s="17" t="n">
        <v>16876</v>
      </c>
      <c r="D67" s="18" t="n">
        <v>14.248</v>
      </c>
      <c r="E67" s="17" t="n">
        <f aca="false">ROUND(C67/D67,0)</f>
        <v>1184</v>
      </c>
      <c r="F67" s="16" t="s">
        <v>223</v>
      </c>
    </row>
    <row r="68" customFormat="false" ht="15" hidden="false" customHeight="false" outlineLevel="0" collapsed="false">
      <c r="A68" s="4" t="s">
        <v>313</v>
      </c>
      <c r="B68" s="4" t="s">
        <v>314</v>
      </c>
      <c r="C68" s="5" t="n">
        <v>31614</v>
      </c>
      <c r="D68" s="15" t="n">
        <v>1.397</v>
      </c>
      <c r="E68" s="5" t="n">
        <f aca="false">ROUND(C68/D68,0)</f>
        <v>22630</v>
      </c>
      <c r="F68" s="4" t="s">
        <v>196</v>
      </c>
    </row>
    <row r="69" customFormat="false" ht="15" hidden="false" customHeight="false" outlineLevel="0" collapsed="false">
      <c r="A69" s="16" t="s">
        <v>315</v>
      </c>
      <c r="B69" s="16" t="s">
        <v>316</v>
      </c>
      <c r="C69" s="17" t="n">
        <v>7451</v>
      </c>
      <c r="D69" s="18" t="n">
        <v>3.305</v>
      </c>
      <c r="E69" s="17" t="n">
        <f aca="false">ROUND(C69/D69,0)</f>
        <v>2254</v>
      </c>
      <c r="F69" s="16" t="s">
        <v>223</v>
      </c>
    </row>
    <row r="70" customFormat="false" ht="15" hidden="false" customHeight="false" outlineLevel="0" collapsed="false">
      <c r="A70" s="16" t="s">
        <v>317</v>
      </c>
      <c r="B70" s="16" t="s">
        <v>318</v>
      </c>
      <c r="C70" s="17" t="n">
        <v>3156</v>
      </c>
      <c r="D70" s="18" t="n">
        <v>3.554</v>
      </c>
      <c r="E70" s="17" t="n">
        <f aca="false">ROUND(C70/D70,0)</f>
        <v>888</v>
      </c>
      <c r="F70" s="16" t="s">
        <v>223</v>
      </c>
    </row>
    <row r="71" customFormat="false" ht="15" hidden="false" customHeight="false" outlineLevel="0" collapsed="false">
      <c r="A71" s="16" t="s">
        <v>319</v>
      </c>
      <c r="B71" s="16" t="s">
        <v>320</v>
      </c>
      <c r="C71" s="17" t="n">
        <v>28193</v>
      </c>
      <c r="D71" s="18" t="n">
        <v>5.855</v>
      </c>
      <c r="E71" s="17" t="n">
        <f aca="false">ROUND(C71/D71,0)</f>
        <v>4815</v>
      </c>
      <c r="F71" s="16" t="s">
        <v>223</v>
      </c>
    </row>
    <row r="72" customFormat="false" ht="15" hidden="false" customHeight="false" outlineLevel="0" collapsed="false">
      <c r="A72" s="12" t="s">
        <v>321</v>
      </c>
      <c r="B72" s="12"/>
      <c r="C72" s="13" t="n">
        <v>250396</v>
      </c>
      <c r="D72" s="14" t="n">
        <v>25.427</v>
      </c>
      <c r="E72" s="13" t="n">
        <f aca="false">ROUND(C72/D72,0)</f>
        <v>9848</v>
      </c>
      <c r="F72" s="12" t="s">
        <v>193</v>
      </c>
    </row>
    <row r="73" customFormat="false" ht="15" hidden="false" customHeight="false" outlineLevel="0" collapsed="false">
      <c r="A73" s="4" t="s">
        <v>322</v>
      </c>
      <c r="B73" s="4" t="s">
        <v>323</v>
      </c>
      <c r="C73" s="5" t="n">
        <v>18423</v>
      </c>
      <c r="D73" s="15" t="n">
        <v>1.292</v>
      </c>
      <c r="E73" s="5" t="n">
        <f aca="false">ROUND(C73/D73,0)</f>
        <v>14259</v>
      </c>
      <c r="F73" s="4" t="s">
        <v>216</v>
      </c>
    </row>
    <row r="74" customFormat="false" ht="15" hidden="false" customHeight="false" outlineLevel="0" collapsed="false">
      <c r="A74" s="4" t="s">
        <v>324</v>
      </c>
      <c r="B74" s="4" t="s">
        <v>325</v>
      </c>
      <c r="C74" s="5" t="n">
        <v>45513</v>
      </c>
      <c r="D74" s="15" t="n">
        <v>1.374</v>
      </c>
      <c r="E74" s="5" t="n">
        <f aca="false">ROUND(C74/D74,0)</f>
        <v>33124</v>
      </c>
      <c r="F74" s="4" t="s">
        <v>196</v>
      </c>
    </row>
    <row r="75" customFormat="false" ht="15" hidden="false" customHeight="false" outlineLevel="0" collapsed="false">
      <c r="A75" s="4" t="s">
        <v>326</v>
      </c>
      <c r="B75" s="4" t="s">
        <v>327</v>
      </c>
      <c r="C75" s="5" t="n">
        <v>38072</v>
      </c>
      <c r="D75" s="15" t="n">
        <v>1.679</v>
      </c>
      <c r="E75" s="5" t="n">
        <f aca="false">ROUND(C75/D75,0)</f>
        <v>22675</v>
      </c>
      <c r="F75" s="4" t="s">
        <v>196</v>
      </c>
    </row>
    <row r="76" customFormat="false" ht="15" hidden="false" customHeight="false" outlineLevel="0" collapsed="false">
      <c r="A76" s="4" t="s">
        <v>328</v>
      </c>
      <c r="B76" s="4" t="s">
        <v>329</v>
      </c>
      <c r="C76" s="5" t="n">
        <v>68973</v>
      </c>
      <c r="D76" s="15" t="n">
        <v>2.849</v>
      </c>
      <c r="E76" s="5" t="n">
        <f aca="false">ROUND(C76/D76,0)</f>
        <v>24210</v>
      </c>
      <c r="F76" s="4" t="s">
        <v>196</v>
      </c>
    </row>
    <row r="77" customFormat="false" ht="15" hidden="false" customHeight="false" outlineLevel="0" collapsed="false">
      <c r="A77" s="16" t="s">
        <v>330</v>
      </c>
      <c r="B77" s="16" t="s">
        <v>331</v>
      </c>
      <c r="C77" s="17" t="n">
        <v>20657</v>
      </c>
      <c r="D77" s="18" t="n">
        <v>9.157</v>
      </c>
      <c r="E77" s="17" t="n">
        <f aca="false">ROUND(C77/D77,0)</f>
        <v>2256</v>
      </c>
      <c r="F77" s="16" t="s">
        <v>223</v>
      </c>
    </row>
    <row r="78" customFormat="false" ht="15" hidden="false" customHeight="false" outlineLevel="0" collapsed="false">
      <c r="A78" s="16" t="s">
        <v>332</v>
      </c>
      <c r="B78" s="16" t="s">
        <v>333</v>
      </c>
      <c r="C78" s="17" t="n">
        <v>6417</v>
      </c>
      <c r="D78" s="18" t="n">
        <v>5.419</v>
      </c>
      <c r="E78" s="17" t="n">
        <f aca="false">ROUND(C78/D78,0)</f>
        <v>1184</v>
      </c>
      <c r="F78" s="16" t="s">
        <v>223</v>
      </c>
    </row>
    <row r="79" customFormat="false" ht="15" hidden="false" customHeight="false" outlineLevel="0" collapsed="false">
      <c r="A79" s="4" t="s">
        <v>334</v>
      </c>
      <c r="B79" s="4" t="s">
        <v>335</v>
      </c>
      <c r="C79" s="5" t="n">
        <v>52341</v>
      </c>
      <c r="D79" s="15" t="n">
        <v>3.609</v>
      </c>
      <c r="E79" s="5" t="n">
        <f aca="false">ROUND(C79/D79,0)</f>
        <v>14503</v>
      </c>
      <c r="F79" s="4" t="s">
        <v>216</v>
      </c>
    </row>
    <row r="80" customFormat="false" ht="15" hidden="false" customHeight="false" outlineLevel="0" collapsed="false">
      <c r="A80" s="12" t="s">
        <v>336</v>
      </c>
      <c r="B80" s="12"/>
      <c r="C80" s="13" t="n">
        <v>274406</v>
      </c>
      <c r="D80" s="14" t="n">
        <v>14.048</v>
      </c>
      <c r="E80" s="13" t="n">
        <f aca="false">ROUND(C80/D80,0)</f>
        <v>19533</v>
      </c>
      <c r="F80" s="12" t="s">
        <v>193</v>
      </c>
    </row>
    <row r="81" customFormat="false" ht="15" hidden="false" customHeight="false" outlineLevel="0" collapsed="false">
      <c r="A81" s="4" t="s">
        <v>337</v>
      </c>
      <c r="B81" s="4" t="s">
        <v>338</v>
      </c>
      <c r="C81" s="5" t="n">
        <v>23466</v>
      </c>
      <c r="D81" s="15" t="n">
        <v>0.666</v>
      </c>
      <c r="E81" s="5" t="n">
        <f aca="false">ROUND(C81/D81,0)</f>
        <v>35234</v>
      </c>
      <c r="F81" s="4" t="s">
        <v>196</v>
      </c>
    </row>
    <row r="82" customFormat="false" ht="15" hidden="false" customHeight="false" outlineLevel="0" collapsed="false">
      <c r="A82" s="4" t="s">
        <v>339</v>
      </c>
      <c r="B82" s="4" t="s">
        <v>340</v>
      </c>
      <c r="C82" s="5" t="n">
        <v>35513</v>
      </c>
      <c r="D82" s="15" t="n">
        <v>1.106</v>
      </c>
      <c r="E82" s="5" t="n">
        <f aca="false">ROUND(C82/D82,0)</f>
        <v>32109</v>
      </c>
      <c r="F82" s="4" t="s">
        <v>196</v>
      </c>
    </row>
    <row r="83" customFormat="false" ht="15" hidden="false" customHeight="false" outlineLevel="0" collapsed="false">
      <c r="A83" s="4" t="s">
        <v>341</v>
      </c>
      <c r="B83" s="4" t="s">
        <v>342</v>
      </c>
      <c r="C83" s="5" t="n">
        <v>42184</v>
      </c>
      <c r="D83" s="15" t="n">
        <v>1.899</v>
      </c>
      <c r="E83" s="5" t="n">
        <f aca="false">ROUND(C83/D83,0)</f>
        <v>22214</v>
      </c>
      <c r="F83" s="4" t="s">
        <v>196</v>
      </c>
    </row>
    <row r="84" customFormat="false" ht="15" hidden="false" customHeight="false" outlineLevel="0" collapsed="false">
      <c r="A84" s="4" t="s">
        <v>343</v>
      </c>
      <c r="B84" s="4" t="s">
        <v>344</v>
      </c>
      <c r="C84" s="5" t="n">
        <v>50153</v>
      </c>
      <c r="D84" s="15" t="n">
        <v>1.589</v>
      </c>
      <c r="E84" s="5" t="n">
        <f aca="false">ROUND(C84/D84,0)</f>
        <v>31563</v>
      </c>
      <c r="F84" s="4" t="s">
        <v>196</v>
      </c>
    </row>
    <row r="85" customFormat="false" ht="15" hidden="false" customHeight="false" outlineLevel="0" collapsed="false">
      <c r="A85" s="4" t="s">
        <v>345</v>
      </c>
      <c r="B85" s="4" t="s">
        <v>346</v>
      </c>
      <c r="C85" s="5" t="n">
        <v>38781</v>
      </c>
      <c r="D85" s="15" t="n">
        <v>1.607</v>
      </c>
      <c r="E85" s="5" t="n">
        <f aca="false">ROUND(C85/D85,0)</f>
        <v>24133</v>
      </c>
      <c r="F85" s="4" t="s">
        <v>196</v>
      </c>
    </row>
    <row r="86" customFormat="false" ht="15" hidden="false" customHeight="false" outlineLevel="0" collapsed="false">
      <c r="A86" s="4" t="s">
        <v>347</v>
      </c>
      <c r="B86" s="4" t="s">
        <v>348</v>
      </c>
      <c r="C86" s="5" t="n">
        <v>51040</v>
      </c>
      <c r="D86" s="15" t="n">
        <v>5.613</v>
      </c>
      <c r="E86" s="5" t="n">
        <f aca="false">ROUND(C86/D86,0)</f>
        <v>9093</v>
      </c>
      <c r="F86" s="4" t="s">
        <v>216</v>
      </c>
    </row>
    <row r="87" customFormat="false" ht="15" hidden="false" customHeight="false" outlineLevel="0" collapsed="false">
      <c r="A87" s="4" t="s">
        <v>349</v>
      </c>
      <c r="B87" s="4" t="s">
        <v>350</v>
      </c>
      <c r="C87" s="5" t="n">
        <v>33269</v>
      </c>
      <c r="D87" s="15" t="n">
        <v>1.564</v>
      </c>
      <c r="E87" s="5" t="n">
        <f aca="false">ROUND(C87/D87,0)</f>
        <v>21272</v>
      </c>
      <c r="F87" s="4" t="s">
        <v>196</v>
      </c>
    </row>
    <row r="88" customFormat="false" ht="15" hidden="false" customHeight="false" outlineLevel="0" collapsed="false">
      <c r="A88" s="12" t="s">
        <v>351</v>
      </c>
      <c r="B88" s="12"/>
      <c r="C88" s="13" t="n">
        <v>149113</v>
      </c>
      <c r="D88" s="14" t="n">
        <v>7.778</v>
      </c>
      <c r="E88" s="13" t="n">
        <f aca="false">ROUND(C88/D88,0)</f>
        <v>19171</v>
      </c>
      <c r="F88" s="12" t="s">
        <v>193</v>
      </c>
    </row>
    <row r="89" customFormat="false" ht="15" hidden="false" customHeight="false" outlineLevel="0" collapsed="false">
      <c r="A89" s="4" t="s">
        <v>352</v>
      </c>
      <c r="B89" s="4" t="s">
        <v>353</v>
      </c>
      <c r="C89" s="5" t="n">
        <v>23482</v>
      </c>
      <c r="D89" s="15" t="n">
        <v>1.356</v>
      </c>
      <c r="E89" s="5" t="n">
        <f aca="false">ROUND(C89/D89,0)</f>
        <v>17317</v>
      </c>
      <c r="F89" s="4" t="s">
        <v>196</v>
      </c>
    </row>
    <row r="90" customFormat="false" ht="15" hidden="false" customHeight="false" outlineLevel="0" collapsed="false">
      <c r="A90" s="4" t="s">
        <v>354</v>
      </c>
      <c r="B90" s="4" t="s">
        <v>355</v>
      </c>
      <c r="C90" s="5" t="n">
        <v>14851</v>
      </c>
      <c r="D90" s="15" t="n">
        <v>1.384</v>
      </c>
      <c r="E90" s="5" t="n">
        <f aca="false">ROUND(C90/D90,0)</f>
        <v>10730</v>
      </c>
      <c r="F90" s="4" t="s">
        <v>216</v>
      </c>
    </row>
    <row r="91" customFormat="false" ht="15" hidden="false" customHeight="false" outlineLevel="0" collapsed="false">
      <c r="A91" s="4" t="s">
        <v>356</v>
      </c>
      <c r="B91" s="4" t="s">
        <v>357</v>
      </c>
      <c r="C91" s="5" t="n">
        <v>24510</v>
      </c>
      <c r="D91" s="15" t="n">
        <v>1.463</v>
      </c>
      <c r="E91" s="5" t="n">
        <f aca="false">ROUND(C91/D91,0)</f>
        <v>16753</v>
      </c>
      <c r="F91" s="4" t="s">
        <v>196</v>
      </c>
    </row>
    <row r="92" customFormat="false" ht="15" hidden="false" customHeight="false" outlineLevel="0" collapsed="false">
      <c r="A92" s="4" t="s">
        <v>358</v>
      </c>
      <c r="B92" s="4" t="s">
        <v>359</v>
      </c>
      <c r="C92" s="5" t="n">
        <v>23927</v>
      </c>
      <c r="D92" s="15" t="n">
        <v>0.772</v>
      </c>
      <c r="E92" s="5" t="n">
        <f aca="false">ROUND(C92/D92,0)</f>
        <v>30994</v>
      </c>
      <c r="F92" s="4" t="s">
        <v>196</v>
      </c>
    </row>
    <row r="93" customFormat="false" ht="15" hidden="false" customHeight="false" outlineLevel="0" collapsed="false">
      <c r="A93" s="4" t="s">
        <v>360</v>
      </c>
      <c r="B93" s="4" t="s">
        <v>361</v>
      </c>
      <c r="C93" s="5" t="n">
        <v>27873</v>
      </c>
      <c r="D93" s="15" t="n">
        <v>0.908</v>
      </c>
      <c r="E93" s="5" t="n">
        <f aca="false">ROUND(C93/D93,0)</f>
        <v>30697</v>
      </c>
      <c r="F93" s="4" t="s">
        <v>196</v>
      </c>
    </row>
    <row r="94" customFormat="false" ht="15" hidden="false" customHeight="false" outlineLevel="0" collapsed="false">
      <c r="A94" s="4" t="s">
        <v>362</v>
      </c>
      <c r="B94" s="4" t="s">
        <v>363</v>
      </c>
      <c r="C94" s="5" t="n">
        <v>15298</v>
      </c>
      <c r="D94" s="15" t="n">
        <v>0.775</v>
      </c>
      <c r="E94" s="5" t="n">
        <f aca="false">ROUND(C94/D94,0)</f>
        <v>19739</v>
      </c>
      <c r="F94" s="4" t="s">
        <v>196</v>
      </c>
    </row>
    <row r="95" customFormat="false" ht="15" hidden="false" customHeight="false" outlineLevel="0" collapsed="false">
      <c r="A95" s="4" t="s">
        <v>364</v>
      </c>
      <c r="B95" s="4" t="s">
        <v>365</v>
      </c>
      <c r="C95" s="5" t="n">
        <v>19172</v>
      </c>
      <c r="D95" s="15" t="n">
        <v>1.095</v>
      </c>
      <c r="E95" s="5" t="n">
        <f aca="false">ROUND(C95/D95,0)</f>
        <v>17509</v>
      </c>
      <c r="F95" s="4" t="s">
        <v>196</v>
      </c>
    </row>
    <row r="96" customFormat="false" ht="15" hidden="false" customHeight="false" outlineLevel="0" collapsed="false">
      <c r="A96" s="12" t="s">
        <v>366</v>
      </c>
      <c r="B96" s="12"/>
      <c r="C96" s="13" t="n">
        <v>253048</v>
      </c>
      <c r="D96" s="14" t="n">
        <v>14.969</v>
      </c>
      <c r="E96" s="13" t="n">
        <f aca="false">ROUND(C96/D96,0)</f>
        <v>16905</v>
      </c>
      <c r="F96" s="12" t="s">
        <v>193</v>
      </c>
    </row>
    <row r="97" customFormat="false" ht="15" hidden="false" customHeight="false" outlineLevel="0" collapsed="false">
      <c r="A97" s="4" t="s">
        <v>367</v>
      </c>
      <c r="B97" s="4" t="s">
        <v>368</v>
      </c>
      <c r="C97" s="5" t="n">
        <v>36851</v>
      </c>
      <c r="D97" s="15" t="n">
        <v>5.997</v>
      </c>
      <c r="E97" s="5" t="n">
        <f aca="false">ROUND(C97/D97,0)</f>
        <v>6145</v>
      </c>
      <c r="F97" s="4" t="s">
        <v>216</v>
      </c>
    </row>
    <row r="98" customFormat="false" ht="15" hidden="false" customHeight="false" outlineLevel="0" collapsed="false">
      <c r="A98" s="4" t="s">
        <v>369</v>
      </c>
      <c r="B98" s="4" t="s">
        <v>370</v>
      </c>
      <c r="C98" s="5" t="n">
        <v>49339</v>
      </c>
      <c r="D98" s="15" t="n">
        <v>1.069</v>
      </c>
      <c r="E98" s="5" t="n">
        <f aca="false">ROUND(C98/D98,0)</f>
        <v>46154</v>
      </c>
      <c r="F98" s="4" t="s">
        <v>196</v>
      </c>
    </row>
    <row r="99" customFormat="false" ht="15" hidden="false" customHeight="false" outlineLevel="0" collapsed="false">
      <c r="A99" s="4" t="s">
        <v>371</v>
      </c>
      <c r="B99" s="4" t="s">
        <v>372</v>
      </c>
      <c r="C99" s="5" t="n">
        <v>41755</v>
      </c>
      <c r="D99" s="15" t="n">
        <v>1.724</v>
      </c>
      <c r="E99" s="5" t="n">
        <f aca="false">ROUND(C99/D99,0)</f>
        <v>24220</v>
      </c>
      <c r="F99" s="4" t="s">
        <v>196</v>
      </c>
    </row>
    <row r="100" customFormat="false" ht="15" hidden="false" customHeight="false" outlineLevel="0" collapsed="false">
      <c r="A100" s="4" t="s">
        <v>373</v>
      </c>
      <c r="B100" s="4" t="s">
        <v>374</v>
      </c>
      <c r="C100" s="5" t="n">
        <v>44396</v>
      </c>
      <c r="D100" s="15" t="n">
        <v>3.118</v>
      </c>
      <c r="E100" s="5" t="n">
        <f aca="false">ROUND(C100/D100,0)</f>
        <v>14239</v>
      </c>
      <c r="F100" s="4" t="s">
        <v>216</v>
      </c>
    </row>
    <row r="101" customFormat="false" ht="15" hidden="false" customHeight="false" outlineLevel="0" collapsed="false">
      <c r="A101" s="4" t="s">
        <v>375</v>
      </c>
      <c r="B101" s="4" t="s">
        <v>376</v>
      </c>
      <c r="C101" s="5" t="n">
        <v>29746</v>
      </c>
      <c r="D101" s="15" t="n">
        <v>1.245</v>
      </c>
      <c r="E101" s="5" t="n">
        <f aca="false">ROUND(C101/D101,0)</f>
        <v>23892</v>
      </c>
      <c r="F101" s="4" t="s">
        <v>196</v>
      </c>
    </row>
    <row r="102" customFormat="false" ht="15" hidden="false" customHeight="false" outlineLevel="0" collapsed="false">
      <c r="A102" s="4" t="s">
        <v>377</v>
      </c>
      <c r="B102" s="4" t="s">
        <v>378</v>
      </c>
      <c r="C102" s="5" t="n">
        <v>50961</v>
      </c>
      <c r="D102" s="15" t="n">
        <v>1.849</v>
      </c>
      <c r="E102" s="5" t="n">
        <f aca="false">ROUND(C102/D102,0)</f>
        <v>27561</v>
      </c>
      <c r="F102" s="4" t="s">
        <v>196</v>
      </c>
    </row>
    <row r="103" customFormat="false" ht="15" hidden="false" customHeight="false" outlineLevel="0" collapsed="false">
      <c r="A103" s="12" t="s">
        <v>379</v>
      </c>
      <c r="B103" s="12"/>
      <c r="C103" s="13" t="n">
        <v>95123</v>
      </c>
      <c r="D103" s="14" t="n">
        <v>6.103</v>
      </c>
      <c r="E103" s="13" t="n">
        <f aca="false">ROUND(C103/D103,0)</f>
        <v>15586</v>
      </c>
      <c r="F103" s="12" t="s">
        <v>193</v>
      </c>
    </row>
    <row r="104" customFormat="false" ht="15" hidden="false" customHeight="false" outlineLevel="0" collapsed="false">
      <c r="A104" s="4" t="s">
        <v>380</v>
      </c>
      <c r="B104" s="4" t="s">
        <v>381</v>
      </c>
      <c r="C104" s="5" t="n">
        <v>9208</v>
      </c>
      <c r="D104" s="15" t="n">
        <v>1.016</v>
      </c>
      <c r="E104" s="5" t="n">
        <f aca="false">ROUND(C104/D104,0)</f>
        <v>9063</v>
      </c>
      <c r="F104" s="4" t="s">
        <v>216</v>
      </c>
    </row>
    <row r="105" customFormat="false" ht="15" hidden="false" customHeight="false" outlineLevel="0" collapsed="false">
      <c r="A105" s="4" t="s">
        <v>382</v>
      </c>
      <c r="B105" s="4" t="s">
        <v>383</v>
      </c>
      <c r="C105" s="5" t="n">
        <v>6421</v>
      </c>
      <c r="D105" s="15" t="n">
        <v>0.745</v>
      </c>
      <c r="E105" s="5" t="n">
        <f aca="false">ROUND(C105/D105,0)</f>
        <v>8619</v>
      </c>
      <c r="F105" s="4" t="s">
        <v>216</v>
      </c>
    </row>
    <row r="106" customFormat="false" ht="15" hidden="false" customHeight="false" outlineLevel="0" collapsed="false">
      <c r="A106" s="4" t="s">
        <v>384</v>
      </c>
      <c r="B106" s="4" t="s">
        <v>385</v>
      </c>
      <c r="C106" s="5" t="n">
        <v>26378</v>
      </c>
      <c r="D106" s="15" t="n">
        <v>1.789</v>
      </c>
      <c r="E106" s="5" t="n">
        <f aca="false">ROUND(C106/D106,0)</f>
        <v>14745</v>
      </c>
      <c r="F106" s="4" t="s">
        <v>216</v>
      </c>
    </row>
    <row r="107" customFormat="false" ht="15" hidden="false" customHeight="false" outlineLevel="0" collapsed="false">
      <c r="A107" s="4" t="s">
        <v>386</v>
      </c>
      <c r="B107" s="4" t="s">
        <v>387</v>
      </c>
      <c r="C107" s="5" t="n">
        <v>17787</v>
      </c>
      <c r="D107" s="15" t="n">
        <v>0.999</v>
      </c>
      <c r="E107" s="5" t="n">
        <f aca="false">ROUND(C107/D107,0)</f>
        <v>17805</v>
      </c>
      <c r="F107" s="4" t="s">
        <v>196</v>
      </c>
    </row>
    <row r="108" customFormat="false" ht="15" hidden="false" customHeight="false" outlineLevel="0" collapsed="false">
      <c r="A108" s="4" t="s">
        <v>388</v>
      </c>
      <c r="B108" s="4" t="s">
        <v>389</v>
      </c>
      <c r="C108" s="5" t="n">
        <v>18000</v>
      </c>
      <c r="D108" s="15" t="n">
        <v>0.964</v>
      </c>
      <c r="E108" s="5" t="n">
        <f aca="false">ROUND(C108/D108,0)</f>
        <v>18672</v>
      </c>
      <c r="F108" s="4" t="s">
        <v>196</v>
      </c>
    </row>
    <row r="109" customFormat="false" ht="15" hidden="false" customHeight="false" outlineLevel="0" collapsed="false">
      <c r="A109" s="4" t="s">
        <v>390</v>
      </c>
      <c r="B109" s="4" t="s">
        <v>391</v>
      </c>
      <c r="C109" s="5" t="n">
        <v>17329</v>
      </c>
      <c r="D109" s="15" t="n">
        <v>0.593</v>
      </c>
      <c r="E109" s="5" t="n">
        <f aca="false">ROUND(C109/D109,0)</f>
        <v>29223</v>
      </c>
      <c r="F109" s="4" t="s">
        <v>196</v>
      </c>
    </row>
    <row r="110" customFormat="false" ht="15" hidden="false" customHeight="false" outlineLevel="0" collapsed="false">
      <c r="A110" s="12" t="s">
        <v>392</v>
      </c>
      <c r="B110" s="12"/>
      <c r="C110" s="13" t="n">
        <v>230035</v>
      </c>
      <c r="D110" s="14" t="n">
        <v>11.426</v>
      </c>
      <c r="E110" s="13" t="n">
        <f aca="false">ROUND(C110/D110,0)</f>
        <v>20133</v>
      </c>
      <c r="F110" s="12" t="s">
        <v>193</v>
      </c>
    </row>
    <row r="111" customFormat="false" ht="15" hidden="false" customHeight="false" outlineLevel="0" collapsed="false">
      <c r="A111" s="4" t="s">
        <v>393</v>
      </c>
      <c r="B111" s="4" t="s">
        <v>394</v>
      </c>
      <c r="C111" s="5" t="n">
        <v>52223</v>
      </c>
      <c r="D111" s="15" t="n">
        <v>3.198</v>
      </c>
      <c r="E111" s="5" t="n">
        <f aca="false">ROUND(C111/D111,0)</f>
        <v>16330</v>
      </c>
      <c r="F111" s="4" t="s">
        <v>196</v>
      </c>
    </row>
    <row r="112" customFormat="false" ht="15" hidden="false" customHeight="false" outlineLevel="0" collapsed="false">
      <c r="A112" s="4" t="s">
        <v>395</v>
      </c>
      <c r="B112" s="4" t="s">
        <v>396</v>
      </c>
      <c r="C112" s="5" t="n">
        <v>65874</v>
      </c>
      <c r="D112" s="15" t="n">
        <v>2.319</v>
      </c>
      <c r="E112" s="5" t="n">
        <f aca="false">ROUND(C112/D112,0)</f>
        <v>28406</v>
      </c>
      <c r="F112" s="4" t="s">
        <v>196</v>
      </c>
    </row>
    <row r="113" customFormat="false" ht="15" hidden="false" customHeight="false" outlineLevel="0" collapsed="false">
      <c r="A113" s="4" t="s">
        <v>397</v>
      </c>
      <c r="B113" s="4" t="s">
        <v>398</v>
      </c>
      <c r="C113" s="5" t="n">
        <v>26762</v>
      </c>
      <c r="D113" s="15" t="n">
        <v>0.722</v>
      </c>
      <c r="E113" s="5" t="n">
        <f aca="false">ROUND(C113/D113,0)</f>
        <v>37066</v>
      </c>
      <c r="F113" s="4" t="s">
        <v>196</v>
      </c>
    </row>
    <row r="114" customFormat="false" ht="15" hidden="false" customHeight="false" outlineLevel="0" collapsed="false">
      <c r="A114" s="4" t="s">
        <v>399</v>
      </c>
      <c r="B114" s="4" t="s">
        <v>400</v>
      </c>
      <c r="C114" s="5" t="n">
        <v>22256</v>
      </c>
      <c r="D114" s="15" t="n">
        <v>0.885</v>
      </c>
      <c r="E114" s="5" t="n">
        <f aca="false">ROUND(C114/D114,0)</f>
        <v>25148</v>
      </c>
      <c r="F114" s="4" t="s">
        <v>196</v>
      </c>
    </row>
    <row r="115" customFormat="false" ht="15" hidden="false" customHeight="false" outlineLevel="0" collapsed="false">
      <c r="A115" s="4" t="s">
        <v>401</v>
      </c>
      <c r="B115" s="4" t="s">
        <v>402</v>
      </c>
      <c r="C115" s="5" t="n">
        <v>19019</v>
      </c>
      <c r="D115" s="15" t="n">
        <v>1.052</v>
      </c>
      <c r="E115" s="5" t="n">
        <f aca="false">ROUND(C115/D115,0)</f>
        <v>18079</v>
      </c>
      <c r="F115" s="4" t="s">
        <v>196</v>
      </c>
    </row>
    <row r="116" customFormat="false" ht="15" hidden="false" customHeight="false" outlineLevel="0" collapsed="false">
      <c r="A116" s="4" t="s">
        <v>403</v>
      </c>
      <c r="B116" s="4" t="s">
        <v>404</v>
      </c>
      <c r="C116" s="5" t="n">
        <v>13120</v>
      </c>
      <c r="D116" s="15" t="n">
        <v>1.01</v>
      </c>
      <c r="E116" s="5" t="n">
        <f aca="false">ROUND(C116/D116,0)</f>
        <v>12990</v>
      </c>
      <c r="F116" s="4" t="s">
        <v>216</v>
      </c>
    </row>
    <row r="117" customFormat="false" ht="15" hidden="false" customHeight="false" outlineLevel="0" collapsed="false">
      <c r="A117" s="4" t="s">
        <v>405</v>
      </c>
      <c r="B117" s="4" t="s">
        <v>406</v>
      </c>
      <c r="C117" s="5" t="n">
        <v>6810</v>
      </c>
      <c r="D117" s="15" t="n">
        <v>0.559</v>
      </c>
      <c r="E117" s="5" t="n">
        <f aca="false">ROUND(C117/D117,0)</f>
        <v>12182</v>
      </c>
      <c r="F117" s="4" t="s">
        <v>216</v>
      </c>
    </row>
    <row r="118" customFormat="false" ht="15" hidden="false" customHeight="false" outlineLevel="0" collapsed="false">
      <c r="A118" s="4" t="s">
        <v>407</v>
      </c>
      <c r="B118" s="4" t="s">
        <v>408</v>
      </c>
      <c r="C118" s="5" t="n">
        <v>1672</v>
      </c>
      <c r="D118" s="15" t="n">
        <v>0.248</v>
      </c>
      <c r="E118" s="5" t="n">
        <f aca="false">ROUND(C118/D118,0)</f>
        <v>6742</v>
      </c>
      <c r="F118" s="4" t="s">
        <v>216</v>
      </c>
    </row>
    <row r="119" customFormat="false" ht="15" hidden="false" customHeight="false" outlineLevel="0" collapsed="false">
      <c r="A119" s="4" t="s">
        <v>409</v>
      </c>
      <c r="B119" s="4" t="s">
        <v>410</v>
      </c>
      <c r="C119" s="5" t="n">
        <v>22299</v>
      </c>
      <c r="D119" s="15" t="n">
        <v>1.427</v>
      </c>
      <c r="E119" s="5" t="n">
        <f aca="false">ROUND(C119/D119,0)</f>
        <v>15626</v>
      </c>
      <c r="F119" s="4" t="s">
        <v>196</v>
      </c>
    </row>
    <row r="120" customFormat="false" ht="15" hidden="false" customHeight="false" outlineLevel="0" collapsed="false">
      <c r="A120" s="12" t="s">
        <v>411</v>
      </c>
      <c r="B120" s="12"/>
      <c r="C120" s="13" t="n">
        <v>205182</v>
      </c>
      <c r="D120" s="14" t="n">
        <v>27.42</v>
      </c>
      <c r="E120" s="13" t="n">
        <f aca="false">ROUND(C120/D120,0)</f>
        <v>7483</v>
      </c>
      <c r="F120" s="12" t="s">
        <v>193</v>
      </c>
    </row>
    <row r="121" customFormat="false" ht="15" hidden="false" customHeight="false" outlineLevel="0" collapsed="false">
      <c r="A121" s="4" t="s">
        <v>412</v>
      </c>
      <c r="B121" s="4" t="s">
        <v>413</v>
      </c>
      <c r="C121" s="5" t="n">
        <v>7018</v>
      </c>
      <c r="D121" s="15" t="n">
        <v>1.128</v>
      </c>
      <c r="E121" s="5" t="n">
        <f aca="false">ROUND(C121/D121,0)</f>
        <v>6222</v>
      </c>
      <c r="F121" s="4" t="s">
        <v>216</v>
      </c>
    </row>
    <row r="122" customFormat="false" ht="15" hidden="false" customHeight="false" outlineLevel="0" collapsed="false">
      <c r="A122" s="16" t="s">
        <v>414</v>
      </c>
      <c r="B122" s="16" t="s">
        <v>415</v>
      </c>
      <c r="C122" s="17" t="n">
        <v>15455</v>
      </c>
      <c r="D122" s="18" t="n">
        <v>3.139</v>
      </c>
      <c r="E122" s="17" t="n">
        <f aca="false">ROUND(C122/D122,0)</f>
        <v>4924</v>
      </c>
      <c r="F122" s="16" t="s">
        <v>223</v>
      </c>
    </row>
    <row r="123" customFormat="false" ht="15" hidden="false" customHeight="false" outlineLevel="0" collapsed="false">
      <c r="A123" s="4" t="s">
        <v>416</v>
      </c>
      <c r="B123" s="4" t="s">
        <v>417</v>
      </c>
      <c r="C123" s="5" t="n">
        <v>40440</v>
      </c>
      <c r="D123" s="15" t="n">
        <v>2.516</v>
      </c>
      <c r="E123" s="5" t="n">
        <f aca="false">ROUND(C123/D123,0)</f>
        <v>16073</v>
      </c>
      <c r="F123" s="4" t="s">
        <v>196</v>
      </c>
    </row>
    <row r="124" customFormat="false" ht="15" hidden="false" customHeight="false" outlineLevel="0" collapsed="false">
      <c r="A124" s="4" t="s">
        <v>418</v>
      </c>
      <c r="B124" s="4" t="s">
        <v>419</v>
      </c>
      <c r="C124" s="5" t="n">
        <v>53313</v>
      </c>
      <c r="D124" s="15" t="n">
        <v>2.632</v>
      </c>
      <c r="E124" s="5" t="n">
        <f aca="false">ROUND(C124/D124,0)</f>
        <v>20256</v>
      </c>
      <c r="F124" s="4" t="s">
        <v>196</v>
      </c>
    </row>
    <row r="125" customFormat="false" ht="15" hidden="false" customHeight="false" outlineLevel="0" collapsed="false">
      <c r="A125" s="4" t="s">
        <v>420</v>
      </c>
      <c r="B125" s="4" t="s">
        <v>421</v>
      </c>
      <c r="C125" s="5" t="n">
        <v>15842</v>
      </c>
      <c r="D125" s="15" t="n">
        <v>1.204</v>
      </c>
      <c r="E125" s="5" t="n">
        <f aca="false">ROUND(C125/D125,0)</f>
        <v>13158</v>
      </c>
      <c r="F125" s="4" t="s">
        <v>216</v>
      </c>
    </row>
    <row r="126" customFormat="false" ht="15" hidden="false" customHeight="false" outlineLevel="0" collapsed="false">
      <c r="A126" s="16" t="s">
        <v>422</v>
      </c>
      <c r="B126" s="16" t="s">
        <v>423</v>
      </c>
      <c r="C126" s="17" t="n">
        <v>73114</v>
      </c>
      <c r="D126" s="18" t="n">
        <v>16.778</v>
      </c>
      <c r="E126" s="17" t="n">
        <f aca="false">ROUND(C126/D126,0)</f>
        <v>4358</v>
      </c>
      <c r="F126" s="16" t="s">
        <v>223</v>
      </c>
    </row>
    <row r="127" customFormat="false" ht="15" hidden="false" customHeight="false" outlineLevel="0" collapsed="false">
      <c r="A127" s="12" t="s">
        <v>424</v>
      </c>
      <c r="B127" s="12"/>
      <c r="C127" s="13" t="n">
        <v>167952</v>
      </c>
      <c r="D127" s="14" t="n">
        <v>20.188</v>
      </c>
      <c r="E127" s="13" t="n">
        <f aca="false">ROUND(C127/D127,0)</f>
        <v>8319</v>
      </c>
      <c r="F127" s="12" t="s">
        <v>193</v>
      </c>
    </row>
    <row r="128" customFormat="false" ht="15" hidden="false" customHeight="false" outlineLevel="0" collapsed="false">
      <c r="A128" s="4" t="s">
        <v>425</v>
      </c>
      <c r="B128" s="4" t="s">
        <v>426</v>
      </c>
      <c r="C128" s="5" t="n">
        <v>50266</v>
      </c>
      <c r="D128" s="15" t="n">
        <v>9.192</v>
      </c>
      <c r="E128" s="5" t="n">
        <f aca="false">ROUND(C128/D128,0)</f>
        <v>5468</v>
      </c>
      <c r="F128" s="4" t="s">
        <v>216</v>
      </c>
    </row>
    <row r="129" customFormat="false" ht="15" hidden="false" customHeight="false" outlineLevel="0" collapsed="false">
      <c r="A129" s="4" t="s">
        <v>427</v>
      </c>
      <c r="B129" s="4" t="s">
        <v>428</v>
      </c>
      <c r="C129" s="5" t="n">
        <v>18870</v>
      </c>
      <c r="D129" s="15" t="n">
        <v>1.106</v>
      </c>
      <c r="E129" s="5" t="n">
        <f aca="false">ROUND(C129/D129,0)</f>
        <v>17061</v>
      </c>
      <c r="F129" s="4" t="s">
        <v>196</v>
      </c>
    </row>
    <row r="130" customFormat="false" ht="15" hidden="false" customHeight="false" outlineLevel="0" collapsed="false">
      <c r="A130" s="16" t="s">
        <v>429</v>
      </c>
      <c r="B130" s="16" t="s">
        <v>430</v>
      </c>
      <c r="C130" s="17" t="n">
        <v>22375</v>
      </c>
      <c r="D130" s="18" t="n">
        <v>6.425</v>
      </c>
      <c r="E130" s="17" t="n">
        <f aca="false">ROUND(C130/D130,0)</f>
        <v>3482</v>
      </c>
      <c r="F130" s="16" t="s">
        <v>223</v>
      </c>
    </row>
    <row r="131" customFormat="false" ht="15" hidden="false" customHeight="false" outlineLevel="0" collapsed="false">
      <c r="A131" s="4" t="s">
        <v>431</v>
      </c>
      <c r="B131" s="4" t="s">
        <v>432</v>
      </c>
      <c r="C131" s="5" t="n">
        <v>39648</v>
      </c>
      <c r="D131" s="15" t="n">
        <v>1.511</v>
      </c>
      <c r="E131" s="5" t="n">
        <f aca="false">ROUND(C131/D131,0)</f>
        <v>26240</v>
      </c>
      <c r="F131" s="4" t="s">
        <v>196</v>
      </c>
    </row>
    <row r="132" customFormat="false" ht="15" hidden="false" customHeight="false" outlineLevel="0" collapsed="false">
      <c r="A132" s="4" t="s">
        <v>433</v>
      </c>
      <c r="B132" s="4" t="s">
        <v>434</v>
      </c>
      <c r="C132" s="5" t="n">
        <v>36793</v>
      </c>
      <c r="D132" s="15" t="n">
        <v>1.944</v>
      </c>
      <c r="E132" s="5" t="n">
        <f aca="false">ROUND(C132/D132,0)</f>
        <v>18926</v>
      </c>
      <c r="F132" s="4" t="s">
        <v>196</v>
      </c>
    </row>
    <row r="133" customFormat="false" ht="15" hidden="false" customHeight="false" outlineLevel="0" collapsed="false">
      <c r="A133" s="12" t="s">
        <v>435</v>
      </c>
      <c r="B133" s="12"/>
      <c r="C133" s="13" t="n">
        <v>122337</v>
      </c>
      <c r="D133" s="14" t="n">
        <v>51.467</v>
      </c>
      <c r="E133" s="13" t="n">
        <f aca="false">ROUND(C133/D133,0)</f>
        <v>2377</v>
      </c>
      <c r="F133" s="12" t="s">
        <v>193</v>
      </c>
    </row>
    <row r="134" customFormat="false" ht="15" hidden="false" customHeight="false" outlineLevel="0" collapsed="false">
      <c r="A134" s="16" t="s">
        <v>436</v>
      </c>
      <c r="B134" s="16" t="s">
        <v>437</v>
      </c>
      <c r="C134" s="17" t="n">
        <v>41984</v>
      </c>
      <c r="D134" s="18" t="n">
        <v>43.046</v>
      </c>
      <c r="E134" s="17" t="n">
        <f aca="false">ROUND(C134/D134,0)</f>
        <v>975</v>
      </c>
      <c r="F134" s="16" t="s">
        <v>223</v>
      </c>
    </row>
    <row r="135" customFormat="false" ht="15" hidden="false" customHeight="false" outlineLevel="0" collapsed="false">
      <c r="A135" s="4" t="s">
        <v>438</v>
      </c>
      <c r="B135" s="4" t="s">
        <v>439</v>
      </c>
      <c r="C135" s="5" t="n">
        <v>24168</v>
      </c>
      <c r="D135" s="15" t="n">
        <v>2.08</v>
      </c>
      <c r="E135" s="5" t="n">
        <f aca="false">ROUND(C135/D135,0)</f>
        <v>11619</v>
      </c>
      <c r="F135" s="4" t="s">
        <v>216</v>
      </c>
    </row>
    <row r="136" customFormat="false" ht="15" hidden="false" customHeight="false" outlineLevel="0" collapsed="false">
      <c r="A136" s="4" t="s">
        <v>440</v>
      </c>
      <c r="B136" s="4" t="s">
        <v>441</v>
      </c>
      <c r="C136" s="5" t="n">
        <v>56185</v>
      </c>
      <c r="D136" s="15" t="n">
        <v>6.341</v>
      </c>
      <c r="E136" s="5" t="n">
        <f aca="false">ROUND(C136/D136,0)</f>
        <v>8861</v>
      </c>
      <c r="F136" s="4" t="s">
        <v>216</v>
      </c>
    </row>
    <row r="137" customFormat="false" ht="15" hidden="false" customHeight="false" outlineLevel="0" collapsed="false">
      <c r="A137" s="12" t="s">
        <v>442</v>
      </c>
      <c r="B137" s="12"/>
      <c r="C137" s="13" t="n">
        <v>89772</v>
      </c>
      <c r="D137" s="14" t="n">
        <v>35.267</v>
      </c>
      <c r="E137" s="13" t="n">
        <f aca="false">ROUND(C137/D137,0)</f>
        <v>2545</v>
      </c>
      <c r="F137" s="12" t="s">
        <v>193</v>
      </c>
    </row>
    <row r="138" customFormat="false" ht="15" hidden="false" customHeight="false" outlineLevel="0" collapsed="false">
      <c r="A138" s="16" t="s">
        <v>443</v>
      </c>
      <c r="B138" s="16" t="s">
        <v>444</v>
      </c>
      <c r="C138" s="17" t="n">
        <v>37018</v>
      </c>
      <c r="D138" s="18" t="n">
        <v>21.494</v>
      </c>
      <c r="E138" s="17" t="n">
        <f aca="false">ROUND(C138/D138,0)</f>
        <v>1722</v>
      </c>
      <c r="F138" s="16" t="s">
        <v>223</v>
      </c>
    </row>
    <row r="139" customFormat="false" ht="15" hidden="false" customHeight="false" outlineLevel="0" collapsed="false">
      <c r="A139" s="4" t="s">
        <v>445</v>
      </c>
      <c r="B139" s="4" t="s">
        <v>446</v>
      </c>
      <c r="C139" s="5" t="n">
        <v>17693</v>
      </c>
      <c r="D139" s="15" t="n">
        <v>2.555</v>
      </c>
      <c r="E139" s="5" t="n">
        <f aca="false">ROUND(C139/D139,0)</f>
        <v>6925</v>
      </c>
      <c r="F139" s="4" t="s">
        <v>216</v>
      </c>
    </row>
    <row r="140" customFormat="false" ht="15" hidden="false" customHeight="false" outlineLevel="0" collapsed="false">
      <c r="A140" s="4" t="s">
        <v>447</v>
      </c>
      <c r="B140" s="4" t="s">
        <v>448</v>
      </c>
      <c r="C140" s="5" t="n">
        <v>17868</v>
      </c>
      <c r="D140" s="15" t="n">
        <v>0.643</v>
      </c>
      <c r="E140" s="5" t="n">
        <f aca="false">ROUND(C140/D140,0)</f>
        <v>27788</v>
      </c>
      <c r="F140" s="4" t="s">
        <v>196</v>
      </c>
    </row>
    <row r="141" customFormat="false" ht="15" hidden="false" customHeight="false" outlineLevel="0" collapsed="false">
      <c r="A141" s="16" t="s">
        <v>449</v>
      </c>
      <c r="B141" s="16" t="s">
        <v>450</v>
      </c>
      <c r="C141" s="17" t="n">
        <v>17193</v>
      </c>
      <c r="D141" s="18" t="n">
        <v>10.574</v>
      </c>
      <c r="E141" s="17" t="n">
        <f aca="false">ROUND(C141/D141,0)</f>
        <v>1626</v>
      </c>
      <c r="F141" s="16" t="s">
        <v>223</v>
      </c>
    </row>
    <row r="142" customFormat="false" ht="15" hidden="false" customHeight="false" outlineLevel="0" collapsed="false">
      <c r="A142" s="12" t="s">
        <v>451</v>
      </c>
      <c r="B142" s="12"/>
      <c r="C142" s="13" t="n">
        <v>166583</v>
      </c>
      <c r="D142" s="14" t="n">
        <v>22.292</v>
      </c>
      <c r="E142" s="13" t="n">
        <f aca="false">ROUND(C142/D142,0)</f>
        <v>7473</v>
      </c>
      <c r="F142" s="12" t="s">
        <v>193</v>
      </c>
    </row>
    <row r="143" customFormat="false" ht="15" hidden="false" customHeight="false" outlineLevel="0" collapsed="false">
      <c r="A143" s="4" t="s">
        <v>452</v>
      </c>
      <c r="B143" s="4" t="s">
        <v>453</v>
      </c>
      <c r="C143" s="5" t="n">
        <v>30158</v>
      </c>
      <c r="D143" s="15" t="n">
        <v>2.278</v>
      </c>
      <c r="E143" s="5" t="n">
        <f aca="false">ROUND(C143/D143,0)</f>
        <v>13239</v>
      </c>
      <c r="F143" s="4" t="s">
        <v>216</v>
      </c>
    </row>
    <row r="144" customFormat="false" ht="15" hidden="false" customHeight="false" outlineLevel="0" collapsed="false">
      <c r="A144" s="4" t="s">
        <v>454</v>
      </c>
      <c r="B144" s="4" t="s">
        <v>455</v>
      </c>
      <c r="C144" s="5" t="n">
        <v>9965</v>
      </c>
      <c r="D144" s="15" t="n">
        <v>0.549</v>
      </c>
      <c r="E144" s="5" t="n">
        <f aca="false">ROUND(C144/D144,0)</f>
        <v>18151</v>
      </c>
      <c r="F144" s="4" t="s">
        <v>196</v>
      </c>
    </row>
    <row r="145" customFormat="false" ht="15" hidden="false" customHeight="false" outlineLevel="0" collapsed="false">
      <c r="A145" s="4" t="s">
        <v>456</v>
      </c>
      <c r="B145" s="4" t="s">
        <v>457</v>
      </c>
      <c r="C145" s="5" t="n">
        <v>9749</v>
      </c>
      <c r="D145" s="15" t="n">
        <v>0.37</v>
      </c>
      <c r="E145" s="5" t="n">
        <f aca="false">ROUND(C145/D145,0)</f>
        <v>26349</v>
      </c>
      <c r="F145" s="4" t="s">
        <v>196</v>
      </c>
    </row>
    <row r="146" customFormat="false" ht="15" hidden="false" customHeight="false" outlineLevel="0" collapsed="false">
      <c r="A146" s="4" t="s">
        <v>458</v>
      </c>
      <c r="B146" s="4" t="s">
        <v>459</v>
      </c>
      <c r="C146" s="5" t="n">
        <v>26280</v>
      </c>
      <c r="D146" s="15" t="n">
        <v>1.305</v>
      </c>
      <c r="E146" s="5" t="n">
        <f aca="false">ROUND(C146/D146,0)</f>
        <v>20138</v>
      </c>
      <c r="F146" s="4" t="s">
        <v>196</v>
      </c>
    </row>
    <row r="147" customFormat="false" ht="15" hidden="false" customHeight="false" outlineLevel="0" collapsed="false">
      <c r="A147" s="16" t="s">
        <v>460</v>
      </c>
      <c r="B147" s="16" t="s">
        <v>461</v>
      </c>
      <c r="C147" s="17" t="n">
        <v>30838</v>
      </c>
      <c r="D147" s="18" t="n">
        <v>9.388</v>
      </c>
      <c r="E147" s="17" t="n">
        <f aca="false">ROUND(C147/D147,0)</f>
        <v>3285</v>
      </c>
      <c r="F147" s="16" t="s">
        <v>223</v>
      </c>
    </row>
    <row r="148" customFormat="false" ht="15" hidden="false" customHeight="false" outlineLevel="0" collapsed="false">
      <c r="A148" s="16" t="s">
        <v>462</v>
      </c>
      <c r="B148" s="16" t="s">
        <v>463</v>
      </c>
      <c r="C148" s="17" t="n">
        <v>18196</v>
      </c>
      <c r="D148" s="18" t="n">
        <v>5.007</v>
      </c>
      <c r="E148" s="17" t="n">
        <f aca="false">ROUND(C148/D148,0)</f>
        <v>3634</v>
      </c>
      <c r="F148" s="16" t="s">
        <v>223</v>
      </c>
    </row>
    <row r="149" customFormat="false" ht="15" hidden="false" customHeight="false" outlineLevel="0" collapsed="false">
      <c r="A149" s="4" t="s">
        <v>464</v>
      </c>
      <c r="B149" s="4" t="s">
        <v>465</v>
      </c>
      <c r="C149" s="5" t="n">
        <v>29943</v>
      </c>
      <c r="D149" s="15" t="n">
        <v>1.598</v>
      </c>
      <c r="E149" s="5" t="n">
        <f aca="false">ROUND(C149/D149,0)</f>
        <v>18738</v>
      </c>
      <c r="F149" s="4" t="s">
        <v>196</v>
      </c>
    </row>
    <row r="150" customFormat="false" ht="15" hidden="false" customHeight="false" outlineLevel="0" collapsed="false">
      <c r="A150" s="4" t="s">
        <v>466</v>
      </c>
      <c r="B150" s="4" t="s">
        <v>467</v>
      </c>
      <c r="C150" s="5" t="n">
        <v>11454</v>
      </c>
      <c r="D150" s="15" t="n">
        <v>1.881</v>
      </c>
      <c r="E150" s="5" t="n">
        <f aca="false">ROUND(C150/D150,0)</f>
        <v>6089</v>
      </c>
      <c r="F150" s="4" t="s">
        <v>216</v>
      </c>
    </row>
    <row r="151" customFormat="false" ht="15" hidden="false" customHeight="false" outlineLevel="0" collapsed="false">
      <c r="A151" s="12" t="s">
        <v>468</v>
      </c>
      <c r="B151" s="12"/>
      <c r="C151" s="13" t="n">
        <v>49612</v>
      </c>
      <c r="D151" s="14" t="n">
        <v>41.923</v>
      </c>
      <c r="E151" s="13" t="n">
        <f aca="false">ROUND(C151/D151,0)</f>
        <v>1183</v>
      </c>
      <c r="F151" s="12" t="s">
        <v>193</v>
      </c>
    </row>
    <row r="152" customFormat="false" ht="15" hidden="false" customHeight="false" outlineLevel="0" collapsed="false">
      <c r="A152" s="4" t="s">
        <v>469</v>
      </c>
      <c r="B152" s="4" t="s">
        <v>470</v>
      </c>
      <c r="C152" s="5" t="n">
        <v>19875</v>
      </c>
      <c r="D152" s="15" t="n">
        <v>1.961</v>
      </c>
      <c r="E152" s="5" t="n">
        <f aca="false">ROUND(C152/D152,0)</f>
        <v>10135</v>
      </c>
      <c r="F152" s="4" t="s">
        <v>216</v>
      </c>
    </row>
    <row r="153" customFormat="false" ht="15" hidden="false" customHeight="false" outlineLevel="0" collapsed="false">
      <c r="A153" s="16" t="s">
        <v>471</v>
      </c>
      <c r="B153" s="16" t="s">
        <v>472</v>
      </c>
      <c r="C153" s="17" t="n">
        <v>1949</v>
      </c>
      <c r="D153" s="18" t="n">
        <v>25.132</v>
      </c>
      <c r="E153" s="17" t="n">
        <f aca="false">ROUND(C153/D153,0)</f>
        <v>78</v>
      </c>
      <c r="F153" s="16" t="s">
        <v>223</v>
      </c>
    </row>
    <row r="154" customFormat="false" ht="15" hidden="false" customHeight="false" outlineLevel="0" collapsed="false">
      <c r="A154" s="4" t="s">
        <v>473</v>
      </c>
      <c r="B154" s="4" t="s">
        <v>474</v>
      </c>
      <c r="C154" s="5" t="n">
        <v>7625</v>
      </c>
      <c r="D154" s="15" t="n">
        <v>0.609</v>
      </c>
      <c r="E154" s="5" t="n">
        <f aca="false">ROUND(C154/D154,0)</f>
        <v>12521</v>
      </c>
      <c r="F154" s="4" t="s">
        <v>216</v>
      </c>
    </row>
    <row r="155" customFormat="false" ht="15" hidden="false" customHeight="false" outlineLevel="0" collapsed="false">
      <c r="A155" s="16" t="s">
        <v>475</v>
      </c>
      <c r="B155" s="16" t="s">
        <v>476</v>
      </c>
      <c r="C155" s="17" t="n">
        <v>12400</v>
      </c>
      <c r="D155" s="18" t="n">
        <v>9.595</v>
      </c>
      <c r="E155" s="17" t="n">
        <f aca="false">ROUND(C155/D155,0)</f>
        <v>1292</v>
      </c>
      <c r="F155" s="16" t="s">
        <v>223</v>
      </c>
    </row>
    <row r="156" customFormat="false" ht="15" hidden="false" customHeight="false" outlineLevel="0" collapsed="false">
      <c r="A156" s="16" t="s">
        <v>477</v>
      </c>
      <c r="B156" s="16" t="s">
        <v>478</v>
      </c>
      <c r="C156" s="17" t="n">
        <v>7763</v>
      </c>
      <c r="D156" s="18" t="n">
        <v>4.633</v>
      </c>
      <c r="E156" s="17" t="n">
        <f aca="false">ROUND(C156/D156,0)</f>
        <v>1676</v>
      </c>
      <c r="F156" s="16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479</v>
      </c>
    </row>
    <row r="3" customFormat="false" ht="15" hidden="false" customHeight="false" outlineLevel="0" collapsed="false">
      <c r="A3" s="19" t="s">
        <v>480</v>
      </c>
    </row>
    <row r="4" customFormat="false" ht="15" hidden="false" customHeight="false" outlineLevel="0" collapsed="false">
      <c r="A4" s="20" t="s">
        <v>481</v>
      </c>
    </row>
    <row r="5" customFormat="false" ht="15" hidden="false" customHeight="false" outlineLevel="0" collapsed="false">
      <c r="A5" s="20" t="s">
        <v>482</v>
      </c>
    </row>
    <row r="6" customFormat="false" ht="15" hidden="false" customHeight="false" outlineLevel="0" collapsed="false">
      <c r="A6" s="20" t="s">
        <v>483</v>
      </c>
    </row>
    <row r="7" customFormat="false" ht="15" hidden="false" customHeight="false" outlineLevel="0" collapsed="false">
      <c r="A7" s="20" t="s">
        <v>484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19" t="s">
        <v>485</v>
      </c>
    </row>
    <row r="10" customFormat="false" ht="15" hidden="false" customHeight="false" outlineLevel="0" collapsed="false">
      <c r="A10" s="20" t="s">
        <v>486</v>
      </c>
    </row>
    <row r="11" customFormat="false" ht="15" hidden="false" customHeight="false" outlineLevel="0" collapsed="false">
      <c r="A11" s="20" t="s">
        <v>487</v>
      </c>
    </row>
    <row r="12" customFormat="false" ht="15" hidden="false" customHeight="false" outlineLevel="0" collapsed="false">
      <c r="A12" s="20" t="s">
        <v>488</v>
      </c>
    </row>
    <row r="13" customFormat="false" ht="15" hidden="false" customHeight="false" outlineLevel="0" collapsed="false">
      <c r="A13" s="20"/>
    </row>
    <row r="14" customFormat="false" ht="15" hidden="false" customHeight="false" outlineLevel="0" collapsed="false">
      <c r="A14" s="19" t="s">
        <v>489</v>
      </c>
    </row>
    <row r="15" customFormat="false" ht="15" hidden="false" customHeight="false" outlineLevel="0" collapsed="false">
      <c r="A15" s="20" t="s">
        <v>490</v>
      </c>
    </row>
    <row r="16" customFormat="false" ht="15" hidden="false" customHeight="false" outlineLevel="0" collapsed="false">
      <c r="A16" s="20" t="s">
        <v>491</v>
      </c>
    </row>
    <row r="17" customFormat="false" ht="15" hidden="false" customHeight="false" outlineLevel="0" collapsed="false">
      <c r="A17" s="20" t="s">
        <v>492</v>
      </c>
    </row>
    <row r="18" customFormat="false" ht="15" hidden="false" customHeight="false" outlineLevel="0" collapsed="false">
      <c r="A18" s="20" t="s">
        <v>493</v>
      </c>
    </row>
    <row r="19" customFormat="false" ht="15" hidden="false" customHeight="false" outlineLevel="0" collapsed="false">
      <c r="A19" s="20" t="s">
        <v>494</v>
      </c>
    </row>
    <row r="20" customFormat="false" ht="15" hidden="false" customHeight="false" outlineLevel="0" collapsed="false">
      <c r="A20" s="20"/>
    </row>
    <row r="21" customFormat="false" ht="15" hidden="false" customHeight="false" outlineLevel="0" collapsed="false">
      <c r="A21" s="19" t="s">
        <v>495</v>
      </c>
    </row>
    <row r="22" customFormat="false" ht="15" hidden="false" customHeight="false" outlineLevel="0" collapsed="false">
      <c r="A22" s="20" t="s">
        <v>496</v>
      </c>
    </row>
    <row r="23" customFormat="false" ht="15" hidden="false" customHeight="false" outlineLevel="0" collapsed="false">
      <c r="A23" s="20" t="s">
        <v>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2026-07-12T19:02:03Z</dcterms:created>
  <dc:creator>openpyxl</dc:creator>
  <dc:description/>
  <dc:language>en-US</dc:language>
  <cp:lastModifiedBy/>
  <dcterms:modified xsi:type="dcterms:W3CDTF">2026-07-12T19:02:03Z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